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SEER KHAN\myproject\"/>
    </mc:Choice>
  </mc:AlternateContent>
  <xr:revisionPtr revIDLastSave="0" documentId="13_ncr:1_{EBF883F7-7271-491B-B7DC-088A7593C43F}" xr6:coauthVersionLast="47" xr6:coauthVersionMax="47" xr10:uidLastSave="{00000000-0000-0000-0000-000000000000}"/>
  <bookViews>
    <workbookView xWindow="5505" yWindow="2580" windowWidth="11550" windowHeight="13020" xr2:uid="{00000000-000D-0000-FFFF-FFFF00000000}"/>
  </bookViews>
  <sheets>
    <sheet name="Monthly Tracker" sheetId="1" r:id="rId1"/>
    <sheet name="Keyword Rankings" sheetId="2" r:id="rId2"/>
    <sheet name="Local &amp; CWV &amp; Reviews" sheetId="3" r:id="rId3"/>
    <sheet name="How to 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P17" i="1"/>
  <c r="O17" i="1"/>
  <c r="D17" i="1"/>
  <c r="P16" i="1"/>
  <c r="O16" i="1"/>
  <c r="D16" i="1"/>
  <c r="P15" i="1"/>
  <c r="O15" i="1"/>
  <c r="D15" i="1"/>
  <c r="P14" i="1"/>
  <c r="O14" i="1"/>
  <c r="D14" i="1"/>
  <c r="P13" i="1"/>
  <c r="O13" i="1"/>
  <c r="D13" i="1"/>
  <c r="P12" i="1"/>
  <c r="O12" i="1"/>
  <c r="D12" i="1"/>
  <c r="P11" i="1"/>
  <c r="O11" i="1"/>
  <c r="D11" i="1"/>
  <c r="P10" i="1"/>
  <c r="O10" i="1"/>
  <c r="D10" i="1"/>
  <c r="P9" i="1"/>
  <c r="O9" i="1"/>
  <c r="D9" i="1"/>
  <c r="P8" i="1"/>
  <c r="O8" i="1"/>
  <c r="D8" i="1"/>
  <c r="P7" i="1"/>
  <c r="O7" i="1"/>
  <c r="D7" i="1"/>
  <c r="P6" i="1"/>
  <c r="O6" i="1"/>
  <c r="D6" i="1"/>
  <c r="P5" i="1"/>
  <c r="O5" i="1"/>
  <c r="D5" i="1"/>
</calcChain>
</file>

<file path=xl/sharedStrings.xml><?xml version="1.0" encoding="utf-8"?>
<sst xmlns="http://schemas.openxmlformats.org/spreadsheetml/2006/main" count="151" uniqueCount="127">
  <si>
    <t>Nacravo — SEO &amp; Google Ads KPI Dashboard</t>
  </si>
  <si>
    <t>Yellow cells are inputs you fill in each month. Green cells are formulas — do not overwrite them. One example row (Baseline) shows the expected format.</t>
  </si>
  <si>
    <t>Month</t>
  </si>
  <si>
    <t>Organic clicks</t>
  </si>
  <si>
    <t>Organic impressions</t>
  </si>
  <si>
    <t>Organic CTR %</t>
  </si>
  <si>
    <t>Avg position</t>
  </si>
  <si>
    <t>Ranking keywords (top 10)</t>
  </si>
  <si>
    <t>Total leads</t>
  </si>
  <si>
    <t>Phone calls</t>
  </si>
  <si>
    <t>WhatsApp leads</t>
  </si>
  <si>
    <t>Lead forms</t>
  </si>
  <si>
    <t>Google Ads leads</t>
  </si>
  <si>
    <t>Ads cost (AED)</t>
  </si>
  <si>
    <t>Ads conv. value (AED)</t>
  </si>
  <si>
    <t>Conversion rate %</t>
  </si>
  <si>
    <t>Cost per lead (AED)</t>
  </si>
  <si>
    <t>ROAS</t>
  </si>
  <si>
    <t>Google reviews</t>
  </si>
  <si>
    <t>Avg rating</t>
  </si>
  <si>
    <t>Baseline (pre-launch)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</si>
  <si>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</si>
  <si>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</si>
  <si>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</si>
  <si>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</si>
  <si>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</si>
  <si>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</si>
  <si>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</si>
  <si>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</si>
  <si>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</si>
  <si>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</si>
  <si>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</si>
  <si>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</si>
  <si>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Keyword</t>
  </si>
  <si>
    <t>Landing page</t>
  </si>
  <si>
    <t>Search intent</t>
  </si>
  <si>
    <t>Baseline rank</t>
  </si>
  <si>
    <t>Best rank</t>
  </si>
  <si>
    <t>Trend</t>
  </si>
  <si>
    <t>home cleaning dubai</t>
  </si>
  <si>
    <t>/home-cleaning</t>
  </si>
  <si>
    <t>deep cleaning dubai</t>
  </si>
  <si>
    <t>/deep-cleaning</t>
  </si>
  <si>
    <t>move out cleaning dubai</t>
  </si>
  <si>
    <t>/move-in-out-cleaning</t>
  </si>
  <si>
    <t>end of tenancy cleaning dubai</t>
  </si>
  <si>
    <t>holiday home cleaning dubai</t>
  </si>
  <si>
    <t>/holiday-home-cleaning</t>
  </si>
  <si>
    <t>airbnb cleaning dubai</t>
  </si>
  <si>
    <t>office cleaning dubai</t>
  </si>
  <si>
    <t>/office-commercial-cleaning</t>
  </si>
  <si>
    <t>sofa cleaning dubai</t>
  </si>
  <si>
    <t>/specialized-cleaning</t>
  </si>
  <si>
    <t>carpet cleaning dubai</t>
  </si>
  <si>
    <t>mattress cleaning dubai</t>
  </si>
  <si>
    <t>pest control dubai</t>
  </si>
  <si>
    <t>/pest-control</t>
  </si>
  <si>
    <t>bed bugs treatment dubai</t>
  </si>
  <si>
    <t>ac service dubai</t>
  </si>
  <si>
    <t>/ac-service-dubai</t>
  </si>
  <si>
    <t>ac chemical wash dubai</t>
  </si>
  <si>
    <t>ac repair dubai</t>
  </si>
  <si>
    <t>handyman dubai</t>
  </si>
  <si>
    <t>/handyman-services</t>
  </si>
  <si>
    <t>plumber dubai</t>
  </si>
  <si>
    <t>electrician dubai</t>
  </si>
  <si>
    <t>annual maintenance contract dubai</t>
  </si>
  <si>
    <t>/annual-maintenance</t>
  </si>
  <si>
    <t>villa amc dubai</t>
  </si>
  <si>
    <t>Metric</t>
  </si>
  <si>
    <t>Baseline</t>
  </si>
  <si>
    <t>Target</t>
  </si>
  <si>
    <t>Notes</t>
  </si>
  <si>
    <t>Local pack rankings (map) - core keywords</t>
  </si>
  <si>
    <t>Top 3</t>
  </si>
  <si>
    <t>Track via GBP Insights / local rank tool</t>
  </si>
  <si>
    <t>Google reviews (count)</t>
  </si>
  <si>
    <t>20+ then grow</t>
  </si>
  <si>
    <t>See GBP plan review workflow</t>
  </si>
  <si>
    <t>Average rating</t>
  </si>
  <si>
    <t>4.5+</t>
  </si>
  <si>
    <t>Real reviews only</t>
  </si>
  <si>
    <t>GBP profile views</t>
  </si>
  <si>
    <t>grow</t>
  </si>
  <si>
    <t>GBP Insights</t>
  </si>
  <si>
    <t>GBP calls</t>
  </si>
  <si>
    <t>GBP website clicks</t>
  </si>
  <si>
    <t>LCP - mobile (s)</t>
  </si>
  <si>
    <t>&lt; 2.5</t>
  </si>
  <si>
    <t>Lighthouse / CrUX post-deploy</t>
  </si>
  <si>
    <t>CLS - mobile</t>
  </si>
  <si>
    <t>&lt; 0.1</t>
  </si>
  <si>
    <t>Lighthouse / CrUX</t>
  </si>
  <si>
    <t>INP - mobile (ms)</t>
  </si>
  <si>
    <t>&lt; 200</t>
  </si>
  <si>
    <t>Indexed pages (Search Console)</t>
  </si>
  <si>
    <t>23</t>
  </si>
  <si>
    <t>Coverage report</t>
  </si>
  <si>
    <t>Google Ads Quality Score (avg)</t>
  </si>
  <si>
    <t>7+</t>
  </si>
  <si>
    <t>Ads keyword QS column</t>
  </si>
  <si>
    <t>How to use this dashboard</t>
  </si>
  <si>
    <t>Yellow cells</t>
  </si>
  <si>
    <t>Inputs you fill in each month from the sources named.</t>
  </si>
  <si>
    <t>Green cells</t>
  </si>
  <si>
    <t>Formulas (CTR, cost per lead, ROAS, best rank, trend). Do not overwrite.</t>
  </si>
  <si>
    <t>Data sources</t>
  </si>
  <si>
    <t>Organic clicks / impressions / CTR / position</t>
  </si>
  <si>
    <t>Google Search Console &gt; Performance</t>
  </si>
  <si>
    <t>Ranking keywords</t>
  </si>
  <si>
    <t>Search Console, or a rank tracker (Ahrefs / SEMrush / local tool)</t>
  </si>
  <si>
    <t>Phone / WhatsApp / form leads</t>
  </si>
  <si>
    <t>GA4 events: phone_click, whatsapp_click, generate_lead</t>
  </si>
  <si>
    <t>Google Ads leads / cost / value</t>
  </si>
  <si>
    <t>Google Ads &gt; Campaigns</t>
  </si>
  <si>
    <t>Conversion value / ROAS</t>
  </si>
  <si>
    <t>Requires a conversion value to be set (see Ads report). ROAS = value / cost.</t>
  </si>
  <si>
    <t>Cost per lead</t>
  </si>
  <si>
    <t>Ads cost / Ads leads (auto-calculated).</t>
  </si>
  <si>
    <t>Google reviews / rating</t>
  </si>
  <si>
    <t>Google Business Profile</t>
  </si>
  <si>
    <t>Core Web Vitals</t>
  </si>
  <si>
    <t>Lighthouse (lab) and Search Console CWV report (field) - AFTER deploy</t>
  </si>
  <si>
    <t>Quality Score</t>
  </si>
  <si>
    <t>Google Ads &gt; Keywords &gt; add the Quality Score column</t>
  </si>
  <si>
    <t>IMPORTANT</t>
  </si>
  <si>
    <t>Pause the duplicate GA4 tag first, or your lead numbers will be ~2x too high. See GTM guide.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</si>
</sst>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5"/>
      <color rgb="FF3B4636"/>
      <name val="Arial"/>
    </font>
    <font>
      <i/>
      <sz val="9"/>
      <color rgb="FF6F6B63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3B4636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B4636"/>
      </patternFill>
    </fill>
    <fill>
      <patternFill patternType="solid">
        <fgColor rgb="FFFFF6CC"/>
      </patternFill>
    </fill>
    <fill>
      <patternFill patternType="solid">
        <fgColor rgb="FFEAF0E4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vertical="top"/>
    </xf>
    <xf numFmtId="3" fontId="4" fillId="3" borderId="1" xfId="0" applyNumberFormat="1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3" fontId="4" fillId="4" borderId="1" xfId="0" applyNumberFormat="1" applyFont="1" applyFill="1" applyBorder="1" applyAlignment="1">
      <alignment vertical="top"/>
    </xf>
    <xf numFmtId="165" fontId="4" fillId="4" borderId="1" xfId="0" applyNumberFormat="1" applyFont="1" applyFill="1" applyBorder="1" applyAlignment="1">
      <alignment vertical="top"/>
    </xf>
    <xf numFmtId="166" fontId="4" fillId="3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vertical="top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13" customWidth="1"/>
    <col min="3" max="3" width="15" customWidth="1"/>
    <col min="4" max="5" width="10" customWidth="1"/>
    <col min="6" max="6" width="16" customWidth="1"/>
    <col min="7" max="8" width="11" customWidth="1"/>
    <col min="9" max="9" width="13" customWidth="1"/>
    <col min="10" max="10" width="11" customWidth="1"/>
    <col min="11" max="12" width="13" customWidth="1"/>
    <col min="13" max="13" width="15" customWidth="1"/>
    <col min="14" max="14" width="13" customWidth="1"/>
    <col min="15" max="15" width="15" customWidth="1"/>
    <col min="16" max="16" width="9" customWidth="1"/>
    <col min="17" max="17" width="12" customWidth="1"/>
    <col min="18" max="18" width="10" customWidth="1"/>
  </cols>
  <sheetData>
    <row r="1" spans="1:18" ht="19.5" x14ac:dyDescent="0.3">
      <c r="A1" s="1" t="s">
        <v>0</v>
      </c>
    </row>
    <row r="2" spans="1:18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1:18" ht="44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25">
      <c r="A5" s="3" t="s">
        <v>20</v>
      </c>
      <c r="B5" s="4">
        <v>0</v>
      </c>
      <c r="C5" s="4">
        <v>0</v>
      </c>
      <c r="D5" s="5">
        <f t="shared" ref="D5:D17" si="0">IF(C5=0,0,B5/C5)</f>
        <v>0</v>
      </c>
      <c r="E5" s="4"/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6">
        <v>0</v>
      </c>
      <c r="M5" s="6">
        <v>0</v>
      </c>
      <c r="N5" s="7"/>
      <c r="O5" s="8">
        <f t="shared" ref="O5:O17" si="1">IF(K5=0,0,L5/K5)</f>
        <v>0</v>
      </c>
      <c r="P5" s="9">
        <f t="shared" ref="P5:P17" si="2">IF(L5=0,0,M5/L5)</f>
        <v>0</v>
      </c>
      <c r="Q5" s="4">
        <v>0</v>
      </c>
      <c r="R5" s="10"/>
    </row>
    <row r="6" spans="1:18" x14ac:dyDescent="0.25">
      <c r="A6" s="3" t="s">
        <v>21</v>
      </c>
      <c r="B6" s="4"/>
      <c r="C6" s="4"/>
      <c r="D6" s="5">
        <f t="shared" si="0"/>
        <v>0</v>
      </c>
      <c r="E6" s="4"/>
      <c r="F6" s="4"/>
      <c r="G6" s="4"/>
      <c r="H6" s="4"/>
      <c r="I6" s="4"/>
      <c r="J6" s="4"/>
      <c r="K6" s="4"/>
      <c r="L6" s="6"/>
      <c r="M6" s="6"/>
      <c r="N6" s="7"/>
      <c r="O6" s="8">
        <f t="shared" si="1"/>
        <v>0</v>
      </c>
      <c r="P6" s="9">
        <f t="shared" si="2"/>
        <v>0</v>
      </c>
      <c r="Q6" s="4"/>
      <c r="R6" s="10"/>
    </row>
    <row r="7" spans="1:18" x14ac:dyDescent="0.25">
      <c r="A7" s="3" t="s">
        <v>22</v>
      </c>
      <c r="B7" s="4"/>
      <c r="C7" s="4"/>
      <c r="D7" s="5">
        <f t="shared" si="0"/>
        <v>0</v>
      </c>
      <c r="E7" s="4"/>
      <c r="F7" s="4"/>
      <c r="G7" s="4"/>
      <c r="H7" s="4"/>
      <c r="I7" s="4"/>
      <c r="J7" s="4"/>
      <c r="K7" s="4"/>
      <c r="L7" s="6"/>
      <c r="M7" s="6"/>
      <c r="N7" s="7"/>
      <c r="O7" s="8">
        <f t="shared" si="1"/>
        <v>0</v>
      </c>
      <c r="P7" s="9">
        <f t="shared" si="2"/>
        <v>0</v>
      </c>
      <c r="Q7" s="4"/>
      <c r="R7" s="10"/>
    </row>
    <row r="8" spans="1:18" x14ac:dyDescent="0.25">
      <c r="A8" s="3" t="s">
        <v>23</v>
      </c>
      <c r="B8" s="4"/>
      <c r="C8" s="4"/>
      <c r="D8" s="5">
        <f t="shared" si="0"/>
        <v>0</v>
      </c>
      <c r="E8" s="4"/>
      <c r="F8" s="4"/>
      <c r="G8" s="4"/>
      <c r="H8" s="4"/>
      <c r="I8" s="4"/>
      <c r="J8" s="4"/>
      <c r="K8" s="4"/>
      <c r="L8" s="6"/>
      <c r="M8" s="6"/>
      <c r="N8" s="7"/>
      <c r="O8" s="8">
        <f t="shared" si="1"/>
        <v>0</v>
      </c>
      <c r="P8" s="9">
        <f t="shared" si="2"/>
        <v>0</v>
      </c>
      <c r="Q8" s="4"/>
      <c r="R8" s="10"/>
    </row>
    <row r="9" spans="1:18" x14ac:dyDescent="0.25">
      <c r="A9" s="3" t="s">
        <v>24</v>
      </c>
      <c r="B9" s="4"/>
      <c r="C9" s="4"/>
      <c r="D9" s="5">
        <f t="shared" si="0"/>
        <v>0</v>
      </c>
      <c r="E9" s="4"/>
      <c r="F9" s="4"/>
      <c r="G9" s="4"/>
      <c r="H9" s="4"/>
      <c r="I9" s="4"/>
      <c r="J9" s="4"/>
      <c r="K9" s="4"/>
      <c r="L9" s="6"/>
      <c r="M9" s="6"/>
      <c r="N9" s="7"/>
      <c r="O9" s="8">
        <f t="shared" si="1"/>
        <v>0</v>
      </c>
      <c r="P9" s="9">
        <f t="shared" si="2"/>
        <v>0</v>
      </c>
      <c r="Q9" s="4"/>
      <c r="R9" s="10"/>
    </row>
    <row r="10" spans="1:18" x14ac:dyDescent="0.25">
      <c r="A10" s="3" t="s">
        <v>25</v>
      </c>
      <c r="B10" s="4"/>
      <c r="C10" s="4"/>
      <c r="D10" s="5">
        <f t="shared" si="0"/>
        <v>0</v>
      </c>
      <c r="E10" s="4"/>
      <c r="F10" s="4"/>
      <c r="G10" s="4"/>
      <c r="H10" s="4"/>
      <c r="I10" s="4"/>
      <c r="J10" s="4"/>
      <c r="K10" s="4"/>
      <c r="L10" s="6"/>
      <c r="M10" s="6"/>
      <c r="N10" s="7"/>
      <c r="O10" s="8">
        <f t="shared" si="1"/>
        <v>0</v>
      </c>
      <c r="P10" s="9">
        <f t="shared" si="2"/>
        <v>0</v>
      </c>
      <c r="Q10" s="4"/>
      <c r="R10" s="10"/>
    </row>
    <row r="11" spans="1:18" x14ac:dyDescent="0.25">
      <c r="A11" s="3" t="s">
        <v>26</v>
      </c>
      <c r="B11" s="4"/>
      <c r="C11" s="4"/>
      <c r="D11" s="5">
        <f t="shared" si="0"/>
        <v>0</v>
      </c>
      <c r="E11" s="4"/>
      <c r="F11" s="4"/>
      <c r="G11" s="4"/>
      <c r="H11" s="4"/>
      <c r="I11" s="4"/>
      <c r="J11" s="4"/>
      <c r="K11" s="4"/>
      <c r="L11" s="6"/>
      <c r="M11" s="6"/>
      <c r="N11" s="7"/>
      <c r="O11" s="8">
        <f t="shared" si="1"/>
        <v>0</v>
      </c>
      <c r="P11" s="9">
        <f t="shared" si="2"/>
        <v>0</v>
      </c>
      <c r="Q11" s="4"/>
      <c r="R11" s="10"/>
    </row>
    <row r="12" spans="1:18" x14ac:dyDescent="0.25">
      <c r="A12" s="3" t="s">
        <v>27</v>
      </c>
      <c r="B12" s="4"/>
      <c r="C12" s="4"/>
      <c r="D12" s="5">
        <f t="shared" si="0"/>
        <v>0</v>
      </c>
      <c r="E12" s="4"/>
      <c r="F12" s="4"/>
      <c r="G12" s="4"/>
      <c r="H12" s="4"/>
      <c r="I12" s="4"/>
      <c r="J12" s="4"/>
      <c r="K12" s="4"/>
      <c r="L12" s="6"/>
      <c r="M12" s="6"/>
      <c r="N12" s="7"/>
      <c r="O12" s="8">
        <f t="shared" si="1"/>
        <v>0</v>
      </c>
      <c r="P12" s="9">
        <f t="shared" si="2"/>
        <v>0</v>
      </c>
      <c r="Q12" s="4"/>
      <c r="R12" s="10"/>
    </row>
    <row r="13" spans="1:18" x14ac:dyDescent="0.25">
      <c r="A13" s="3" t="s">
        <v>28</v>
      </c>
      <c r="B13" s="4"/>
      <c r="C13" s="4"/>
      <c r="D13" s="5">
        <f t="shared" si="0"/>
        <v>0</v>
      </c>
      <c r="E13" s="4"/>
      <c r="F13" s="4"/>
      <c r="G13" s="4"/>
      <c r="H13" s="4"/>
      <c r="I13" s="4"/>
      <c r="J13" s="4"/>
      <c r="K13" s="4"/>
      <c r="L13" s="6"/>
      <c r="M13" s="6"/>
      <c r="N13" s="7"/>
      <c r="O13" s="8">
        <f t="shared" si="1"/>
        <v>0</v>
      </c>
      <c r="P13" s="9">
        <f t="shared" si="2"/>
        <v>0</v>
      </c>
      <c r="Q13" s="4"/>
      <c r="R13" s="10"/>
    </row>
    <row r="14" spans="1:18" x14ac:dyDescent="0.25">
      <c r="A14" s="3" t="s">
        <v>29</v>
      </c>
      <c r="B14" s="4"/>
      <c r="C14" s="4"/>
      <c r="D14" s="5">
        <f t="shared" si="0"/>
        <v>0</v>
      </c>
      <c r="E14" s="4"/>
      <c r="F14" s="4"/>
      <c r="G14" s="4"/>
      <c r="H14" s="4"/>
      <c r="I14" s="4"/>
      <c r="J14" s="4"/>
      <c r="K14" s="4"/>
      <c r="L14" s="6"/>
      <c r="M14" s="6"/>
      <c r="N14" s="7"/>
      <c r="O14" s="8">
        <f t="shared" si="1"/>
        <v>0</v>
      </c>
      <c r="P14" s="9">
        <f t="shared" si="2"/>
        <v>0</v>
      </c>
      <c r="Q14" s="4"/>
      <c r="R14" s="10"/>
    </row>
    <row r="15" spans="1:18" x14ac:dyDescent="0.25">
      <c r="A15" s="3" t="s">
        <v>30</v>
      </c>
      <c r="B15" s="4"/>
      <c r="C15" s="4"/>
      <c r="D15" s="5">
        <f t="shared" si="0"/>
        <v>0</v>
      </c>
      <c r="E15" s="4"/>
      <c r="F15" s="4"/>
      <c r="G15" s="4"/>
      <c r="H15" s="4"/>
      <c r="I15" s="4"/>
      <c r="J15" s="4"/>
      <c r="K15" s="4"/>
      <c r="L15" s="6"/>
      <c r="M15" s="6"/>
      <c r="N15" s="7"/>
      <c r="O15" s="8">
        <f t="shared" si="1"/>
        <v>0</v>
      </c>
      <c r="P15" s="9">
        <f t="shared" si="2"/>
        <v>0</v>
      </c>
      <c r="Q15" s="4"/>
      <c r="R15" s="10"/>
    </row>
    <row r="16" spans="1:18" x14ac:dyDescent="0.25">
      <c r="A16" s="3" t="s">
        <v>31</v>
      </c>
      <c r="B16" s="4"/>
      <c r="C16" s="4"/>
      <c r="D16" s="5">
        <f t="shared" si="0"/>
        <v>0</v>
      </c>
      <c r="E16" s="4"/>
      <c r="F16" s="4"/>
      <c r="G16" s="4"/>
      <c r="H16" s="4"/>
      <c r="I16" s="4"/>
      <c r="J16" s="4"/>
      <c r="K16" s="4"/>
      <c r="L16" s="6"/>
      <c r="M16" s="6"/>
      <c r="N16" s="7"/>
      <c r="O16" s="8">
        <f t="shared" si="1"/>
        <v>0</v>
      </c>
      <c r="P16" s="9">
        <f t="shared" si="2"/>
        <v>0</v>
      </c>
      <c r="Q16" s="4"/>
      <c r="R16" s="10"/>
    </row>
    <row r="17" spans="1:18" x14ac:dyDescent="0.25">
      <c r="A17" s="3" t="s">
        <v>32</v>
      </c>
      <c r="B17" s="4"/>
      <c r="C17" s="4"/>
      <c r="D17" s="5">
        <f t="shared" si="0"/>
        <v>0</v>
      </c>
      <c r="E17" s="4"/>
      <c r="F17" s="4"/>
      <c r="G17" s="4"/>
      <c r="H17" s="4"/>
      <c r="I17" s="4"/>
      <c r="J17" s="4"/>
      <c r="K17" s="4"/>
      <c r="L17" s="6"/>
      <c r="M17" s="6"/>
      <c r="N17" s="7"/>
      <c r="O17" s="8">
        <f t="shared" si="1"/>
        <v>0</v>
      </c>
      <c r="P17" s="9">
        <f t="shared" si="2"/>
        <v>0</v>
      </c>
      <c r="Q17" s="4"/>
      <c r="R17" s="10"/>
    </row>
  </sheetData>
  <mergeCells count="1"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26" customWidth="1"/>
    <col min="3" max="3" width="18" customWidth="1"/>
    <col min="4" max="4" width="12" customWidth="1"/>
    <col min="5" max="9" width="9" customWidth="1"/>
    <col min="10" max="10" width="10" customWidth="1"/>
    <col min="11" max="11" width="12" customWidth="1"/>
  </cols>
  <sheetData>
    <row r="1" spans="1:11" ht="30" customHeigh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21</v>
      </c>
      <c r="F1" s="2" t="s">
        <v>22</v>
      </c>
      <c r="G1" s="2" t="s">
        <v>23</v>
      </c>
      <c r="H1" s="2" t="s">
        <v>26</v>
      </c>
      <c r="I1" s="2" t="s">
        <v>32</v>
      </c>
      <c r="J1" s="2" t="s">
        <v>37</v>
      </c>
      <c r="K1" s="2" t="s">
        <v>38</v>
      </c>
    </row>
    <row r="2" spans="1:11" x14ac:dyDescent="0.25">
      <c r="A2" s="3" t="s">
        <v>39</v>
      </c>
      <c r="B2" s="3" t="s">
        <v>40</v>
      </c>
      <c r="C2" s="3"/>
      <c r="D2" s="4"/>
      <c r="E2" s="4"/>
      <c r="F2" s="4"/>
      <c r="G2" s="4"/>
      <c r="H2" s="4"/>
      <c r="I2" s="4"/>
      <c r="J2" s="11" t="str">
        <f t="shared" ref="J2:J21" si="0">IF(COUNT(D2:I2)=0,"",MIN(D2:I2))</f>
        <v/>
      </c>
      <c r="K2" s="11" t="str">
        <f t="shared" ref="K2:K21" si="1">IF(OR(D2="",I2=""),"",IF(I2&lt;D2,"improving",IF(I2&gt;D2,"declining","flat")))</f>
        <v/>
      </c>
    </row>
    <row r="3" spans="1:11" x14ac:dyDescent="0.25">
      <c r="A3" s="3" t="s">
        <v>41</v>
      </c>
      <c r="B3" s="3" t="s">
        <v>42</v>
      </c>
      <c r="C3" s="3"/>
      <c r="D3" s="4"/>
      <c r="E3" s="4"/>
      <c r="F3" s="4"/>
      <c r="G3" s="4"/>
      <c r="H3" s="4"/>
      <c r="I3" s="4"/>
      <c r="J3" s="11" t="str">
        <f t="shared" si="0"/>
        <v/>
      </c>
      <c r="K3" s="11" t="str">
        <f t="shared" si="1"/>
        <v/>
      </c>
    </row>
    <row r="4" spans="1:11" x14ac:dyDescent="0.25">
      <c r="A4" s="3" t="s">
        <v>43</v>
      </c>
      <c r="B4" s="3" t="s">
        <v>44</v>
      </c>
      <c r="C4" s="3"/>
      <c r="D4" s="4"/>
      <c r="E4" s="4"/>
      <c r="F4" s="4"/>
      <c r="G4" s="4"/>
      <c r="H4" s="4"/>
      <c r="I4" s="4"/>
      <c r="J4" s="11" t="str">
        <f t="shared" si="0"/>
        <v/>
      </c>
      <c r="K4" s="11" t="str">
        <f t="shared" si="1"/>
        <v/>
      </c>
    </row>
    <row r="5" spans="1:11" x14ac:dyDescent="0.25">
      <c r="A5" s="3" t="s">
        <v>45</v>
      </c>
      <c r="B5" s="3" t="s">
        <v>44</v>
      </c>
      <c r="C5" s="3"/>
      <c r="D5" s="4"/>
      <c r="E5" s="4"/>
      <c r="F5" s="4"/>
      <c r="G5" s="4"/>
      <c r="H5" s="4"/>
      <c r="I5" s="4"/>
      <c r="J5" s="11" t="str">
        <f t="shared" si="0"/>
        <v/>
      </c>
      <c r="K5" s="11" t="str">
        <f t="shared" si="1"/>
        <v/>
      </c>
    </row>
    <row r="6" spans="1:11" x14ac:dyDescent="0.25">
      <c r="A6" s="3" t="s">
        <v>46</v>
      </c>
      <c r="B6" s="3" t="s">
        <v>47</v>
      </c>
      <c r="C6" s="3"/>
      <c r="D6" s="4"/>
      <c r="E6" s="4"/>
      <c r="F6" s="4"/>
      <c r="G6" s="4"/>
      <c r="H6" s="4"/>
      <c r="I6" s="4"/>
      <c r="J6" s="11" t="str">
        <f t="shared" si="0"/>
        <v/>
      </c>
      <c r="K6" s="11" t="str">
        <f t="shared" si="1"/>
        <v/>
      </c>
    </row>
    <row r="7" spans="1:11" x14ac:dyDescent="0.25">
      <c r="A7" s="3" t="s">
        <v>48</v>
      </c>
      <c r="B7" s="3" t="s">
        <v>47</v>
      </c>
      <c r="C7" s="3"/>
      <c r="D7" s="4"/>
      <c r="E7" s="4"/>
      <c r="F7" s="4"/>
      <c r="G7" s="4"/>
      <c r="H7" s="4"/>
      <c r="I7" s="4"/>
      <c r="J7" s="11" t="str">
        <f t="shared" si="0"/>
        <v/>
      </c>
      <c r="K7" s="11" t="str">
        <f t="shared" si="1"/>
        <v/>
      </c>
    </row>
    <row r="8" spans="1:11" x14ac:dyDescent="0.25">
      <c r="A8" s="3" t="s">
        <v>49</v>
      </c>
      <c r="B8" s="3" t="s">
        <v>50</v>
      </c>
      <c r="C8" s="3"/>
      <c r="D8" s="4"/>
      <c r="E8" s="4"/>
      <c r="F8" s="4"/>
      <c r="G8" s="4"/>
      <c r="H8" s="4"/>
      <c r="I8" s="4"/>
      <c r="J8" s="11" t="str">
        <f t="shared" si="0"/>
        <v/>
      </c>
      <c r="K8" s="11" t="str">
        <f t="shared" si="1"/>
        <v/>
      </c>
    </row>
    <row r="9" spans="1:11" x14ac:dyDescent="0.25">
      <c r="A9" s="3" t="s">
        <v>51</v>
      </c>
      <c r="B9" s="3" t="s">
        <v>52</v>
      </c>
      <c r="C9" s="3"/>
      <c r="D9" s="4"/>
      <c r="E9" s="4"/>
      <c r="F9" s="4"/>
      <c r="G9" s="4"/>
      <c r="H9" s="4"/>
      <c r="I9" s="4"/>
      <c r="J9" s="11" t="str">
        <f t="shared" si="0"/>
        <v/>
      </c>
      <c r="K9" s="11" t="str">
        <f t="shared" si="1"/>
        <v/>
      </c>
    </row>
    <row r="10" spans="1:11" x14ac:dyDescent="0.25">
      <c r="A10" s="3" t="s">
        <v>53</v>
      </c>
      <c r="B10" s="3" t="s">
        <v>52</v>
      </c>
      <c r="C10" s="3"/>
      <c r="D10" s="4"/>
      <c r="E10" s="4"/>
      <c r="F10" s="4"/>
      <c r="G10" s="4"/>
      <c r="H10" s="4"/>
      <c r="I10" s="4"/>
      <c r="J10" s="11" t="str">
        <f t="shared" si="0"/>
        <v/>
      </c>
      <c r="K10" s="11" t="str">
        <f t="shared" si="1"/>
        <v/>
      </c>
    </row>
    <row r="11" spans="1:11" x14ac:dyDescent="0.25">
      <c r="A11" s="3" t="s">
        <v>54</v>
      </c>
      <c r="B11" s="3" t="s">
        <v>52</v>
      </c>
      <c r="C11" s="3"/>
      <c r="D11" s="4"/>
      <c r="E11" s="4"/>
      <c r="F11" s="4"/>
      <c r="G11" s="4"/>
      <c r="H11" s="4"/>
      <c r="I11" s="4"/>
      <c r="J11" s="11" t="str">
        <f t="shared" si="0"/>
        <v/>
      </c>
      <c r="K11" s="11" t="str">
        <f t="shared" si="1"/>
        <v/>
      </c>
    </row>
    <row r="12" spans="1:11" x14ac:dyDescent="0.25">
      <c r="A12" s="3" t="s">
        <v>55</v>
      </c>
      <c r="B12" s="3" t="s">
        <v>56</v>
      </c>
      <c r="C12" s="3"/>
      <c r="D12" s="4"/>
      <c r="E12" s="4"/>
      <c r="F12" s="4"/>
      <c r="G12" s="4"/>
      <c r="H12" s="4"/>
      <c r="I12" s="4"/>
      <c r="J12" s="11" t="str">
        <f t="shared" si="0"/>
        <v/>
      </c>
      <c r="K12" s="11" t="str">
        <f t="shared" si="1"/>
        <v/>
      </c>
    </row>
    <row r="13" spans="1:11" x14ac:dyDescent="0.25">
      <c r="A13" s="3" t="s">
        <v>57</v>
      </c>
      <c r="B13" s="3" t="s">
        <v>56</v>
      </c>
      <c r="C13" s="3"/>
      <c r="D13" s="4"/>
      <c r="E13" s="4"/>
      <c r="F13" s="4"/>
      <c r="G13" s="4"/>
      <c r="H13" s="4"/>
      <c r="I13" s="4"/>
      <c r="J13" s="11" t="str">
        <f t="shared" si="0"/>
        <v/>
      </c>
      <c r="K13" s="11" t="str">
        <f t="shared" si="1"/>
        <v/>
      </c>
    </row>
    <row r="14" spans="1:11" x14ac:dyDescent="0.25">
      <c r="A14" s="3" t="s">
        <v>58</v>
      </c>
      <c r="B14" s="3" t="s">
        <v>59</v>
      </c>
      <c r="C14" s="3"/>
      <c r="D14" s="4"/>
      <c r="E14" s="4"/>
      <c r="F14" s="4"/>
      <c r="G14" s="4"/>
      <c r="H14" s="4"/>
      <c r="I14" s="4"/>
      <c r="J14" s="11" t="str">
        <f t="shared" si="0"/>
        <v/>
      </c>
      <c r="K14" s="11" t="str">
        <f t="shared" si="1"/>
        <v/>
      </c>
    </row>
    <row r="15" spans="1:11" x14ac:dyDescent="0.25">
      <c r="A15" s="3" t="s">
        <v>60</v>
      </c>
      <c r="B15" s="3" t="s">
        <v>59</v>
      </c>
      <c r="C15" s="3"/>
      <c r="D15" s="4"/>
      <c r="E15" s="4"/>
      <c r="F15" s="4"/>
      <c r="G15" s="4"/>
      <c r="H15" s="4"/>
      <c r="I15" s="4"/>
      <c r="J15" s="11" t="str">
        <f t="shared" si="0"/>
        <v/>
      </c>
      <c r="K15" s="11" t="str">
        <f t="shared" si="1"/>
        <v/>
      </c>
    </row>
    <row r="16" spans="1:11" x14ac:dyDescent="0.25">
      <c r="A16" s="3" t="s">
        <v>61</v>
      </c>
      <c r="B16" s="3" t="s">
        <v>59</v>
      </c>
      <c r="C16" s="3"/>
      <c r="D16" s="4"/>
      <c r="E16" s="4"/>
      <c r="F16" s="4"/>
      <c r="G16" s="4"/>
      <c r="H16" s="4"/>
      <c r="I16" s="4"/>
      <c r="J16" s="11" t="str">
        <f t="shared" si="0"/>
        <v/>
      </c>
      <c r="K16" s="11" t="str">
        <f t="shared" si="1"/>
        <v/>
      </c>
    </row>
    <row r="17" spans="1:11" x14ac:dyDescent="0.25">
      <c r="A17" s="3" t="s">
        <v>62</v>
      </c>
      <c r="B17" s="3" t="s">
        <v>63</v>
      </c>
      <c r="C17" s="3"/>
      <c r="D17" s="4"/>
      <c r="E17" s="4"/>
      <c r="F17" s="4"/>
      <c r="G17" s="4"/>
      <c r="H17" s="4"/>
      <c r="I17" s="4"/>
      <c r="J17" s="11" t="str">
        <f t="shared" si="0"/>
        <v/>
      </c>
      <c r="K17" s="11" t="str">
        <f t="shared" si="1"/>
        <v/>
      </c>
    </row>
    <row r="18" spans="1:11" x14ac:dyDescent="0.25">
      <c r="A18" s="3" t="s">
        <v>64</v>
      </c>
      <c r="B18" s="3" t="s">
        <v>63</v>
      </c>
      <c r="C18" s="3"/>
      <c r="D18" s="4"/>
      <c r="E18" s="4"/>
      <c r="F18" s="4"/>
      <c r="G18" s="4"/>
      <c r="H18" s="4"/>
      <c r="I18" s="4"/>
      <c r="J18" s="11" t="str">
        <f t="shared" si="0"/>
        <v/>
      </c>
      <c r="K18" s="11" t="str">
        <f t="shared" si="1"/>
        <v/>
      </c>
    </row>
    <row r="19" spans="1:11" x14ac:dyDescent="0.25">
      <c r="A19" s="3" t="s">
        <v>65</v>
      </c>
      <c r="B19" s="3" t="s">
        <v>63</v>
      </c>
      <c r="C19" s="3"/>
      <c r="D19" s="4"/>
      <c r="E19" s="4"/>
      <c r="F19" s="4"/>
      <c r="G19" s="4"/>
      <c r="H19" s="4"/>
      <c r="I19" s="4"/>
      <c r="J19" s="11" t="str">
        <f t="shared" si="0"/>
        <v/>
      </c>
      <c r="K19" s="11" t="str">
        <f t="shared" si="1"/>
        <v/>
      </c>
    </row>
    <row r="20" spans="1:11" x14ac:dyDescent="0.25">
      <c r="A20" s="3" t="s">
        <v>66</v>
      </c>
      <c r="B20" s="3" t="s">
        <v>67</v>
      </c>
      <c r="C20" s="3"/>
      <c r="D20" s="4"/>
      <c r="E20" s="4"/>
      <c r="F20" s="4"/>
      <c r="G20" s="4"/>
      <c r="H20" s="4"/>
      <c r="I20" s="4"/>
      <c r="J20" s="11" t="str">
        <f t="shared" si="0"/>
        <v/>
      </c>
      <c r="K20" s="11" t="str">
        <f t="shared" si="1"/>
        <v/>
      </c>
    </row>
    <row r="21" spans="1:11" x14ac:dyDescent="0.25">
      <c r="A21" s="3" t="s">
        <v>68</v>
      </c>
      <c r="B21" s="3" t="s">
        <v>67</v>
      </c>
      <c r="C21" s="3"/>
      <c r="D21" s="4"/>
      <c r="E21" s="4"/>
      <c r="F21" s="4"/>
      <c r="G21" s="4"/>
      <c r="H21" s="4"/>
      <c r="I21" s="4"/>
      <c r="J21" s="11" t="str">
        <f t="shared" si="0"/>
        <v/>
      </c>
      <c r="K21" s="11" t="str">
        <f t="shared" si="1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" width="12" customWidth="1"/>
    <col min="3" max="3" width="14" customWidth="1"/>
    <col min="4" max="7" width="10" customWidth="1"/>
    <col min="8" max="8" width="40" customWidth="1"/>
  </cols>
  <sheetData>
    <row r="1" spans="1:8" ht="27.95" customHeight="1" x14ac:dyDescent="0.25">
      <c r="A1" s="2" t="s">
        <v>69</v>
      </c>
      <c r="B1" s="2" t="s">
        <v>70</v>
      </c>
      <c r="C1" s="2" t="s">
        <v>71</v>
      </c>
      <c r="D1" s="2" t="s">
        <v>21</v>
      </c>
      <c r="E1" s="2" t="s">
        <v>23</v>
      </c>
      <c r="F1" s="2" t="s">
        <v>26</v>
      </c>
      <c r="G1" s="2" t="s">
        <v>32</v>
      </c>
      <c r="H1" s="2" t="s">
        <v>72</v>
      </c>
    </row>
    <row r="2" spans="1:8" x14ac:dyDescent="0.25">
      <c r="A2" s="3" t="s">
        <v>73</v>
      </c>
      <c r="B2" s="3"/>
      <c r="C2" s="3" t="s">
        <v>74</v>
      </c>
      <c r="D2" s="4"/>
      <c r="E2" s="4"/>
      <c r="F2" s="4"/>
      <c r="G2" s="4"/>
      <c r="H2" s="12" t="s">
        <v>75</v>
      </c>
    </row>
    <row r="3" spans="1:8" x14ac:dyDescent="0.25">
      <c r="A3" s="3" t="s">
        <v>76</v>
      </c>
      <c r="B3" s="3">
        <v>0</v>
      </c>
      <c r="C3" s="3" t="s">
        <v>77</v>
      </c>
      <c r="D3" s="4"/>
      <c r="E3" s="4"/>
      <c r="F3" s="4"/>
      <c r="G3" s="4"/>
      <c r="H3" s="12" t="s">
        <v>78</v>
      </c>
    </row>
    <row r="4" spans="1:8" x14ac:dyDescent="0.25">
      <c r="A4" s="3" t="s">
        <v>79</v>
      </c>
      <c r="B4" s="3"/>
      <c r="C4" s="3" t="s">
        <v>80</v>
      </c>
      <c r="D4" s="4"/>
      <c r="E4" s="4"/>
      <c r="F4" s="4"/>
      <c r="G4" s="4"/>
      <c r="H4" s="12" t="s">
        <v>81</v>
      </c>
    </row>
    <row r="5" spans="1:8" x14ac:dyDescent="0.25">
      <c r="A5" s="3" t="s">
        <v>82</v>
      </c>
      <c r="B5" s="3"/>
      <c r="C5" s="3" t="s">
        <v>83</v>
      </c>
      <c r="D5" s="4"/>
      <c r="E5" s="4"/>
      <c r="F5" s="4"/>
      <c r="G5" s="4"/>
      <c r="H5" s="12" t="s">
        <v>84</v>
      </c>
    </row>
    <row r="6" spans="1:8" x14ac:dyDescent="0.25">
      <c r="A6" s="3" t="s">
        <v>85</v>
      </c>
      <c r="B6" s="3"/>
      <c r="C6" s="3" t="s">
        <v>83</v>
      </c>
      <c r="D6" s="4"/>
      <c r="E6" s="4"/>
      <c r="F6" s="4"/>
      <c r="G6" s="4"/>
      <c r="H6" s="12" t="s">
        <v>84</v>
      </c>
    </row>
    <row r="7" spans="1:8" x14ac:dyDescent="0.25">
      <c r="A7" s="3" t="s">
        <v>86</v>
      </c>
      <c r="B7" s="3"/>
      <c r="C7" s="3" t="s">
        <v>83</v>
      </c>
      <c r="D7" s="4"/>
      <c r="E7" s="4"/>
      <c r="F7" s="4"/>
      <c r="G7" s="4"/>
      <c r="H7" s="12" t="s">
        <v>84</v>
      </c>
    </row>
    <row r="8" spans="1:8" x14ac:dyDescent="0.25">
      <c r="A8" s="3" t="s">
        <v>87</v>
      </c>
      <c r="B8" s="3"/>
      <c r="C8" s="3" t="s">
        <v>88</v>
      </c>
      <c r="D8" s="4"/>
      <c r="E8" s="4"/>
      <c r="F8" s="4"/>
      <c r="G8" s="4"/>
      <c r="H8" s="12" t="s">
        <v>89</v>
      </c>
    </row>
    <row r="9" spans="1:8" x14ac:dyDescent="0.25">
      <c r="A9" s="3" t="s">
        <v>90</v>
      </c>
      <c r="B9" s="3"/>
      <c r="C9" s="3" t="s">
        <v>91</v>
      </c>
      <c r="D9" s="4"/>
      <c r="E9" s="4"/>
      <c r="F9" s="4"/>
      <c r="G9" s="4"/>
      <c r="H9" s="12" t="s">
        <v>92</v>
      </c>
    </row>
    <row r="10" spans="1:8" x14ac:dyDescent="0.25">
      <c r="A10" s="3" t="s">
        <v>93</v>
      </c>
      <c r="B10" s="3"/>
      <c r="C10" s="3" t="s">
        <v>94</v>
      </c>
      <c r="D10" s="4"/>
      <c r="E10" s="4"/>
      <c r="F10" s="4"/>
      <c r="G10" s="4"/>
      <c r="H10" s="12" t="s">
        <v>92</v>
      </c>
    </row>
    <row r="11" spans="1:8" x14ac:dyDescent="0.25">
      <c r="A11" s="3" t="s">
        <v>95</v>
      </c>
      <c r="B11" s="3"/>
      <c r="C11" s="3" t="s">
        <v>96</v>
      </c>
      <c r="D11" s="4"/>
      <c r="E11" s="4"/>
      <c r="F11" s="4"/>
      <c r="G11" s="4"/>
      <c r="H11" s="12" t="s">
        <v>97</v>
      </c>
    </row>
    <row r="12" spans="1:8" x14ac:dyDescent="0.25">
      <c r="A12" s="3" t="s">
        <v>98</v>
      </c>
      <c r="B12" s="3"/>
      <c r="C12" s="3" t="s">
        <v>99</v>
      </c>
      <c r="D12" s="4"/>
      <c r="E12" s="4"/>
      <c r="F12" s="4"/>
      <c r="G12" s="4"/>
      <c r="H12" s="12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5" x14ac:dyDescent="0.25"/>
  <cols>
    <col min="1" max="1" width="44" customWidth="1"/>
    <col min="2" max="2" width="70" customWidth="1"/>
  </cols>
  <sheetData>
    <row r="1" spans="1:2" ht="18" x14ac:dyDescent="0.25">
      <c r="A1" s="13" t="s">
        <v>101</v>
      </c>
    </row>
    <row r="3" spans="1:2" x14ac:dyDescent="0.25">
      <c r="A3" s="14" t="s">
        <v>102</v>
      </c>
      <c r="B3" s="12" t="s">
        <v>103</v>
      </c>
    </row>
    <row r="4" spans="1:2" x14ac:dyDescent="0.25">
      <c r="A4" s="14" t="s">
        <v>104</v>
      </c>
      <c r="B4" s="12" t="s">
        <v>105</v>
      </c>
    </row>
    <row r="5" spans="1:2" x14ac:dyDescent="0.25">
      <c r="A5" s="14" t="s">
        <v>106</v>
      </c>
      <c r="B5" s="12"/>
    </row>
    <row r="6" spans="1:2" x14ac:dyDescent="0.25">
      <c r="A6" s="14" t="s">
        <v>107</v>
      </c>
      <c r="B6" s="12" t="s">
        <v>108</v>
      </c>
    </row>
    <row r="7" spans="1:2" x14ac:dyDescent="0.25">
      <c r="A7" s="14" t="s">
        <v>109</v>
      </c>
      <c r="B7" s="12" t="s">
        <v>110</v>
      </c>
    </row>
    <row r="8" spans="1:2" x14ac:dyDescent="0.25">
      <c r="A8" s="14" t="s">
        <v>111</v>
      </c>
      <c r="B8" s="12" t="s">
        <v>112</v>
      </c>
    </row>
    <row r="9" spans="1:2" x14ac:dyDescent="0.25">
      <c r="A9" s="14" t="s">
        <v>113</v>
      </c>
      <c r="B9" s="12" t="s">
        <v>114</v>
      </c>
    </row>
    <row r="10" spans="1:2" x14ac:dyDescent="0.25">
      <c r="A10" s="14" t="s">
        <v>115</v>
      </c>
      <c r="B10" s="12" t="s">
        <v>116</v>
      </c>
    </row>
    <row r="11" spans="1:2" x14ac:dyDescent="0.25">
      <c r="A11" s="14" t="s">
        <v>117</v>
      </c>
      <c r="B11" s="12" t="s">
        <v>118</v>
      </c>
    </row>
    <row r="12" spans="1:2" x14ac:dyDescent="0.25">
      <c r="A12" s="14" t="s">
        <v>119</v>
      </c>
      <c r="B12" s="12" t="s">
        <v>120</v>
      </c>
    </row>
    <row r="13" spans="1:2" x14ac:dyDescent="0.25">
      <c r="A13" s="14" t="s">
        <v>121</v>
      </c>
      <c r="B13" s="12" t="s">
        <v>122</v>
      </c>
    </row>
    <row r="14" spans="1:2" x14ac:dyDescent="0.25">
      <c r="A14" s="14" t="s">
        <v>123</v>
      </c>
      <c r="B14" s="12" t="s">
        <v>124</v>
      </c>
    </row>
    <row r="15" spans="1:2" ht="25.5" x14ac:dyDescent="0.25">
      <c r="A15" s="14" t="s">
        <v>125</v>
      </c>
      <c r="B15" s="1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Tracker</vt:lpstr>
      <vt:lpstr>Keyword Rankings</vt:lpstr>
      <vt:lpstr>Local &amp; CWV &amp; Reviews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Anika Mehendiratta</cp:lastModifiedBy>
  <dcterms:created xsi:type="dcterms:W3CDTF">2026-07-21T08:56:29Z</dcterms:created>
  <dcterms:modified xsi:type="dcterms:W3CDTF">2026-07-21T08:56:53Z</dcterms:modified>
</cp:coreProperties>
</file>