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SEER KHAN\myproject\"/>
    </mc:Choice>
  </mc:AlternateContent>
  <xr:revisionPtr revIDLastSave="0" documentId="13_ncr:1_{4860991D-3FBA-44C1-977F-A9F80B7C6F8B}" xr6:coauthVersionLast="47" xr6:coauthVersionMax="47" xr10:uidLastSave="{00000000-0000-0000-0000-000000000000}"/>
  <bookViews>
    <workbookView xWindow="5160" yWindow="2580" windowWidth="11550" windowHeight="13020" xr2:uid="{00000000-000D-0000-FFFF-FFFF00000000}"/>
  </bookViews>
  <sheets>
    <sheet name="Executive Summary" sheetId="1" r:id="rId1"/>
    <sheet name="On-Page SEO" sheetId="2" r:id="rId2"/>
    <sheet name="Metadata" sheetId="3" r:id="rId3"/>
    <sheet name="Accessibility" sheetId="4" r:id="rId4"/>
    <sheet name="Analytics and GTM" sheetId="5" r:id="rId5"/>
    <sheet name="Internal Linking" sheetId="6" r:id="rId6"/>
    <sheet name="SEO Checklist" sheetId="7" r:id="rId7"/>
    <sheet name="Recommendations" sheetId="8" r:id="rId8"/>
    <sheet name="Production Readin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9" l="1"/>
  <c r="D13" i="9"/>
  <c r="D12" i="9"/>
  <c r="D11" i="9"/>
  <c r="D10" i="9"/>
  <c r="D9" i="9"/>
  <c r="D8" i="9"/>
  <c r="D7" i="9"/>
  <c r="D6" i="9"/>
  <c r="D5" i="9"/>
  <c r="D14" i="9" s="1"/>
  <c r="B16" i="9" s="1"/>
  <c r="B74" i="7"/>
  <c r="B73" i="7"/>
  <c r="B72" i="7"/>
  <c r="B71" i="7"/>
  <c r="B70" i="7"/>
  <c r="B69" i="7"/>
  <c r="B68" i="7"/>
  <c r="E11" i="6"/>
  <c r="E10" i="6"/>
  <c r="E9" i="6"/>
  <c r="E8" i="6"/>
  <c r="E7" i="6"/>
  <c r="E6" i="6"/>
  <c r="E5" i="6"/>
  <c r="E4" i="6"/>
  <c r="E3" i="6"/>
  <c r="B13" i="6" s="1"/>
  <c r="E2" i="6"/>
  <c r="B33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B34" i="4" s="1"/>
  <c r="J11" i="3"/>
  <c r="I11" i="3"/>
  <c r="G11" i="3"/>
  <c r="D11" i="3"/>
  <c r="J10" i="3"/>
  <c r="I10" i="3"/>
  <c r="G10" i="3"/>
  <c r="D10" i="3"/>
  <c r="J9" i="3"/>
  <c r="I9" i="3"/>
  <c r="G9" i="3"/>
  <c r="D9" i="3"/>
  <c r="J8" i="3"/>
  <c r="I8" i="3"/>
  <c r="G8" i="3"/>
  <c r="D8" i="3"/>
  <c r="J7" i="3"/>
  <c r="I7" i="3"/>
  <c r="G7" i="3"/>
  <c r="D7" i="3"/>
  <c r="J6" i="3"/>
  <c r="I6" i="3"/>
  <c r="G6" i="3"/>
  <c r="D6" i="3"/>
  <c r="J5" i="3"/>
  <c r="I5" i="3"/>
  <c r="G5" i="3"/>
  <c r="D5" i="3"/>
  <c r="J4" i="3"/>
  <c r="I4" i="3"/>
  <c r="G4" i="3"/>
  <c r="D4" i="3"/>
  <c r="J3" i="3"/>
  <c r="I3" i="3"/>
  <c r="G3" i="3"/>
  <c r="D3" i="3"/>
  <c r="J2" i="3"/>
  <c r="I2" i="3"/>
  <c r="G2" i="3"/>
  <c r="D2" i="3"/>
  <c r="T12" i="2"/>
  <c r="R12" i="2"/>
  <c r="Q12" i="2"/>
  <c r="P12" i="2"/>
  <c r="O12" i="2"/>
  <c r="N12" i="2"/>
  <c r="M12" i="2"/>
  <c r="S11" i="2"/>
  <c r="S10" i="2"/>
  <c r="S9" i="2"/>
  <c r="S8" i="2"/>
  <c r="S7" i="2"/>
  <c r="S6" i="2"/>
  <c r="S5" i="2"/>
  <c r="S4" i="2"/>
  <c r="S3" i="2"/>
  <c r="S2" i="2"/>
  <c r="B19" i="1"/>
</calcChain>
</file>

<file path=xl/sharedStrings.xml><?xml version="1.0" encoding="utf-8"?>
<sst xmlns="http://schemas.openxmlformats.org/spreadsheetml/2006/main" count="818" uniqueCount="523">
  <si>
    <t>Nacravo - SEO Implementation Report</t>
  </si>
  <si>
    <t>Site: https://www.nacravo.com   |   Prepared 20 July 2026   |   NOT DEPLOYED</t>
  </si>
  <si>
    <t>All figures in this workbook are extracted from the built HTML at generation time by build/make_xlsx.py. Nothing is estimated or typed by hand.</t>
  </si>
  <si>
    <t>Metric</t>
  </si>
  <si>
    <t>Value</t>
  </si>
  <si>
    <t>Notes</t>
  </si>
  <si>
    <t>Landing pages delivered</t>
  </si>
  <si>
    <t>9 new + /ac-service-dubai upgraded in place</t>
  </si>
  <si>
    <t>Services hub</t>
  </si>
  <si>
    <t>/services - navigational parent</t>
  </si>
  <si>
    <t>Total indexable pages</t>
  </si>
  <si>
    <t>11 commercial + homepage + 11 legal/utility</t>
  </si>
  <si>
    <t>Sub-service anchor sections</t>
  </si>
  <si>
    <t>Each a real #anchor target</t>
  </si>
  <si>
    <t>FAQ pairs</t>
  </si>
  <si>
    <t>23 preserved from the AC page, rest new</t>
  </si>
  <si>
    <t>Total words of service copy</t>
  </si>
  <si>
    <t>Original, no duplication</t>
  </si>
  <si>
    <t>Structured data blocks</t>
  </si>
  <si>
    <t>Service + BreadcrumbList + FAQPage per page</t>
  </si>
  <si>
    <t>Redirects configured</t>
  </si>
  <si>
    <t>All verified 301, no chains or loops</t>
  </si>
  <si>
    <t>Contact details corrected</t>
  </si>
  <si>
    <t>Old phone + invalid privacy@ address</t>
  </si>
  <si>
    <t>Images referenced</t>
  </si>
  <si>
    <t>Zero broken, zero orphans</t>
  </si>
  <si>
    <t>WCAG AA text failures fixed</t>
  </si>
  <si>
    <t>Of 9 found; 2 remain as brand decisions</t>
  </si>
  <si>
    <t>Blocking issues outstanding</t>
  </si>
  <si>
    <t>Button contrast (brand) + duplicate GA4 tag (GTM)</t>
  </si>
  <si>
    <t>TOTAL pages audited</t>
  </si>
  <si>
    <t>Landing pages counted from the On-Page SEO sheet</t>
  </si>
  <si>
    <t>URL</t>
  </si>
  <si>
    <t>Primary keyword</t>
  </si>
  <si>
    <t>Secondary keywords</t>
  </si>
  <si>
    <t>Search intent</t>
  </si>
  <si>
    <t>Target audience</t>
  </si>
  <si>
    <t>Meta title</t>
  </si>
  <si>
    <t>Title len</t>
  </si>
  <si>
    <t>Meta description</t>
  </si>
  <si>
    <t>Desc len</t>
  </si>
  <si>
    <t>Canonical</t>
  </si>
  <si>
    <t>H1</t>
  </si>
  <si>
    <t>H2 outline</t>
  </si>
  <si>
    <t>Words</t>
  </si>
  <si>
    <t>H2</t>
  </si>
  <si>
    <t>H3</t>
  </si>
  <si>
    <t>FAQ</t>
  </si>
  <si>
    <t>Sub-services</t>
  </si>
  <si>
    <t>Images</t>
  </si>
  <si>
    <t>ALT %</t>
  </si>
  <si>
    <t>Internal links</t>
  </si>
  <si>
    <t>Related services</t>
  </si>
  <si>
    <t>Schema types</t>
  </si>
  <si>
    <t>CTA locations</t>
  </si>
  <si>
    <t>Conversion elements</t>
  </si>
  <si>
    <t>Local SEO signals</t>
  </si>
  <si>
    <t>/home-cleaning</t>
  </si>
  <si>
    <t>home cleaning Dubai</t>
  </si>
  <si>
    <t>regular cleaning, weekly cleaning, monthly cleaning, hourly cleaning, apartment cleaning, villa cleaning, maid service Dubai</t>
  </si>
  <si>
    <t>Commercial - recurring</t>
  </si>
  <si>
    <t>Residents of apartments, townhouses and villas</t>
  </si>
  <si>
    <t>Home Cleaning Services Dubai | Trained, Insured Team</t>
  </si>
  <si>
    <t>Book home cleaning in Dubai with employed, background-checked technicians. Materials included and a fixed price quoted first. Get your quote on WhatsApp.</t>
  </si>
  <si>
    <t>https://www.nacravo.com/home-cleaning</t>
  </si>
  <si>
    <t>Home Cleaning in Dubai</t>
  </si>
  <si>
    <t>Get a free quote | What we clean, and how you can book it | Get a fixed price for your home | Why households choose Nacravo | How booking works | The difference a clean makes | How we price home cleaning | Where we clean in Dubai | Home cleaning questions</t>
  </si>
  <si>
    <t>deep-cleaning, specialized-cleaning, ac-service-dubai, move-in-out-cleaning</t>
  </si>
  <si>
    <t>Service + BreadcrumbList + FAQPage</t>
  </si>
  <si>
    <t>Hero form, hero WhatsApp, hero Call, per-section quote + WhatsApp, mid-page band, closing band, sticky mobile bar, floating WhatsApp</t>
  </si>
  <si>
    <t>Lead form above fold, service preselected, sub-service preselected from anchor, 4 required fields, trust badges, pricing explainer, FAQ</t>
  </si>
  <si>
    <t>10 Dubai communities + geo meta + areaServed schema</t>
  </si>
  <si>
    <t>/deep-cleaning</t>
  </si>
  <si>
    <t>deep cleaning Dubai</t>
  </si>
  <si>
    <t>apartment deep cleaning, villa deep cleaning, kitchen deep cleaning, bathroom deep cleaning, post construction cleaning</t>
  </si>
  <si>
    <t>Commercial - one-off</t>
  </si>
  <si>
    <t>Households after neglect, renovation or handover</t>
  </si>
  <si>
    <t>Deep Cleaning Services in Dubai | Fixed Price Quote</t>
  </si>
  <si>
    <t>Deep cleaning in Dubai for apartments and villas. Grease, limescale and grout tackled by insured, employed technicians. Request your fixed price quote today.</t>
  </si>
  <si>
    <t>https://www.nacravo.com/deep-cleaning</t>
  </si>
  <si>
    <t>Deep Cleaning Services in Dubai</t>
  </si>
  <si>
    <t>Get a free quote | Deep cleaning we carry out | Tell us what needs resetting | Why book a deep clean with us | How a deep clean is arranged | What a deep clean removes | How deep cleaning is quoted | Deep cleaning across Dubai | Deep cleaning questions</t>
  </si>
  <si>
    <t>move-in-out-cleaning, home-cleaning, specialized-cleaning, pest-control</t>
  </si>
  <si>
    <t>/move-in-out-cleaning</t>
  </si>
  <si>
    <t>move out cleaning Dubai</t>
  </si>
  <si>
    <t>move in cleaning, end of tenancy cleaning, empty property cleaning, oven cleaning, fridge cleaning, balcony cleaning</t>
  </si>
  <si>
    <t>Transactional - deadline driven</t>
  </si>
  <si>
    <t>Tenants and landlords at handover</t>
  </si>
  <si>
    <t>Move In &amp; Move Out Cleaning Dubai | End of Tenancy</t>
  </si>
  <si>
    <t>Move in and move out cleaning in Dubai, cleaned to handover standard for landlords and tenants. Photo report supplied. Message us for a fixed price quote.</t>
  </si>
  <si>
    <t>https://www.nacravo.com/move-in-out-cleaning</t>
  </si>
  <si>
    <t>Move In and Move Out Cleaning in Dubai</t>
  </si>
  <si>
    <t>Get a free quote | Handover cleaning, broken down | Cleaning before your inspection | Why tenants and landlords use us | How handover cleaning works | Handover-ready results | How handover cleaning is priced | Handover cleaning across Dubai | Move in and move out questions</t>
  </si>
  <si>
    <t>deep-cleaning, specialized-cleaning, handyman-services, pest-control</t>
  </si>
  <si>
    <t>/holiday-home-cleaning</t>
  </si>
  <si>
    <t>holiday home cleaning Dubai</t>
  </si>
  <si>
    <t>Airbnb cleaning Dubai, holiday home turnover, linen replacement, consumable restocking, mid stay cleaning</t>
  </si>
  <si>
    <t>Commercial - B2B recurring</t>
  </si>
  <si>
    <t>Short-let owners and property managers</t>
  </si>
  <si>
    <t>Airbnb &amp; Holiday Home Cleaning Dubai | Book Nacravo</t>
  </si>
  <si>
    <t>Airbnb and holiday home cleaning in Dubai. Turnover cleans, linen change, restocking and a photo report before check-in. Get a fixed quote on WhatsApp today.</t>
  </si>
  <si>
    <t>https://www.nacravo.com/holiday-home-cleaning</t>
  </si>
  <si>
    <t>Holiday Home &amp; Airbnb Cleaning in Dubai</t>
  </si>
  <si>
    <t>Get a free quote | Holiday Home Cleaning Services We Provide in Dubai | Need a turnover before the next check-in? | Why Dubai Hosts Book Nacravo | How Booking a Turnover Works | Turnovers, documented | How Holiday Home Cleaning Is Priced | Where We Clean Holiday Homes | Holiday Home Cleaning FAQs</t>
  </si>
  <si>
    <t>home-cleaning, deep-cleaning, specialized-cleaning, annual-maintenance</t>
  </si>
  <si>
    <t>/office-commercial-cleaning</t>
  </si>
  <si>
    <t>office cleaning Dubai</t>
  </si>
  <si>
    <t>commercial cleaning, daily cleaning contracts, office carpet shampoo, washroom sanitization, fit out cleaning, post event cleaning</t>
  </si>
  <si>
    <t>B2B contract</t>
  </si>
  <si>
    <t>Office managers, retail and facilities teams</t>
  </si>
  <si>
    <t>Office &amp; Commercial Cleaning Dubai | Nacravo Services</t>
  </si>
  <si>
    <t>Office and commercial cleaning in Dubai. Daily contracts, deep cleans, washrooms, carpets and fit-out handovers. Request a fixed price quote from Nacravo.</t>
  </si>
  <si>
    <t>https://www.nacravo.com/office-commercial-cleaning</t>
  </si>
  <si>
    <t>Office &amp; Commercial Cleaning in Dubai</t>
  </si>
  <si>
    <t>Get a free quote | Office &amp; Commercial Cleaning Services in Dubai | Need a quote for your premises? | Why Dubai Businesses Choose Nacravo | How We Set Up Commercial Cleaning | Workplaces, before and after | How Office &amp; Commercial Cleaning Is Priced | Commercial Premises We Cover | Office &amp; Commercial Cleaning FAQs</t>
  </si>
  <si>
    <t>specialized-cleaning, ac-service-dubai, handyman-services, annual-maintenance</t>
  </si>
  <si>
    <t>/specialized-cleaning</t>
  </si>
  <si>
    <t>sofa cleaning Dubai</t>
  </si>
  <si>
    <t>carpet cleaning, mattress cleaning, curtain cleaning, interior window cleaning</t>
  </si>
  <si>
    <t>Commercial - item level</t>
  </si>
  <si>
    <t>Households needing upholstery or soft furnishing work</t>
  </si>
  <si>
    <t>Specialized Cleaning Dubai | Sofa, Carpet &amp; Mattress</t>
  </si>
  <si>
    <t>Specialized cleaning in Dubai for sofas, carpets, mattresses, curtains and interior windows. Machine deep clean with a photo report. Get a fixed quote now.</t>
  </si>
  <si>
    <t>https://www.nacravo.com/specialized-cleaning</t>
  </si>
  <si>
    <t>Specialized Cleaning Services in Dubai</t>
  </si>
  <si>
    <t>Get a free quote | Specialized Cleaning Services We Offer in Dubai | Want your sofa or carpet treated? | Why Book Specialized Cleaning With Nacravo | How Specialized Cleaning Works | Specialist work, up close | How Specialized Cleaning Is Priced | Where We Provide Specialized Cleaning | Specialized Cleaning FAQs</t>
  </si>
  <si>
    <t>deep-cleaning, home-cleaning, move-in-out-cleaning, office-commercial-cleaning</t>
  </si>
  <si>
    <t>/pest-control</t>
  </si>
  <si>
    <t>pest control Dubai</t>
  </si>
  <si>
    <t>cockroach control, bed bug treatment, ant control, rodent control, commercial pest control</t>
  </si>
  <si>
    <t>Urgent problem solving</t>
  </si>
  <si>
    <t>Residents and businesses with an active infestation</t>
  </si>
  <si>
    <t>Pest Control Dubai | Cockroach, Bed Bug &amp; Ant Treatment</t>
  </si>
  <si>
    <t>Pest control in Dubai for cockroaches, bed bugs, ants and rodents. Trained technicians, products used to label instructions. Get a fixed price quote today.</t>
  </si>
  <si>
    <t>https://www.nacravo.com/pest-control</t>
  </si>
  <si>
    <t>Pest Control Services in Dubai</t>
  </si>
  <si>
    <t>Get a free quote | Pest Treatments We Carry Out | Seen something you shouldn't? | Why Choose Nacravo for Pest Control | How a Pest Control Visit Works | How Pest Control Is Quoted | Pest Control Coverage in Dubai | Pest Control Questions | Often booked together</t>
  </si>
  <si>
    <t>deep-cleaning, move-in-out-cleaning, home-cleaning, office-commercial-cleaning</t>
  </si>
  <si>
    <t>/ac-service-dubai</t>
  </si>
  <si>
    <t>AC service Dubai</t>
  </si>
  <si>
    <t>AC chemical wash, AC duct cleaning, AC repair, AC installation, AC gas top up, split AC service, window AC service</t>
  </si>
  <si>
    <t>Commercial + urgent</t>
  </si>
  <si>
    <t>Apartment, villa and office occupants in Downtown, Business Bay, DIFC</t>
  </si>
  <si>
    <t>AC Service Dubai | Servicing, Chemical Wash &amp; Repair</t>
  </si>
  <si>
    <t>AC servicing, chemical wash, duct cleaning and repair in Downtown Dubai, Business Bay and DIFC. Fixed quote before work, photo report after. Get a quote.</t>
  </si>
  <si>
    <t>https://www.nacravo.com/ac-service-dubai</t>
  </si>
  <si>
    <t>AC Service in Dubai</t>
  </si>
  <si>
    <t>Get a free quote | Complete AC service, done properly | Cooling not what it should be? | One trusted maintenance company, not a rotating cast | If your AC is doing any of this, we can fix it | The difference a proper service makes | Maintenance or chemical wash — which does your AC need? | How your AC service works | Transparent AC pricing</t>
  </si>
  <si>
    <t>annual-maintenance, handyman-services, home-cleaning, office-commercial-cleaning</t>
  </si>
  <si>
    <t>Downtown Dubai, Business Bay, DIFC only</t>
  </si>
  <si>
    <t>/handyman-services</t>
  </si>
  <si>
    <t>handyman Dubai</t>
  </si>
  <si>
    <t>plumbing, electrical, painting, furniture assembly, TV mounting, lock replacement, door repair, ceiling fan, chandelier</t>
  </si>
  <si>
    <t>Task specific</t>
  </si>
  <si>
    <t>Households and offices needing small repairs</t>
  </si>
  <si>
    <t>Handyman Services in Dubai | Repairs, Fitting &amp; Fixes</t>
  </si>
  <si>
    <t>Employed handymen in Dubai for plumbing, electrical, painting, mounting and door repairs. Fixed price quoted before work starts. Book on WhatsApp today.</t>
  </si>
  <si>
    <t>https://www.nacravo.com/handyman-services</t>
  </si>
  <si>
    <t>Handyman Services in Dubai</t>
  </si>
  <si>
    <t>Get a free quote | Handyman Jobs We Cover | Got a list of small jobs? | Why Book Nacravo Handymen | How a Handyman Booking Works | Our technicians at work | How Handyman Pricing Works | Where We Work in Dubai | Handyman Questions</t>
  </si>
  <si>
    <t>ac-service-dubai, annual-maintenance, deep-cleaning, office-commercial-cleaning</t>
  </si>
  <si>
    <t>/annual-maintenance</t>
  </si>
  <si>
    <t>annual maintenance contract Dubai</t>
  </si>
  <si>
    <t>apartment AMC, villa AMC, preventive maintenance, MEP inspection, scheduled visits</t>
  </si>
  <si>
    <t>B2B / landlord</t>
  </si>
  <si>
    <t>Landlords, owners and facilities managers</t>
  </si>
  <si>
    <t>Annual Maintenance Contracts Dubai | Villa &amp; Flat AMC</t>
  </si>
  <si>
    <t>Annual maintenance contracts in Dubai for apartments and villas: scheduled visits, MEP checks and priority callout for members. Ask for an AMC quote today.</t>
  </si>
  <si>
    <t>https://www.nacravo.com/annual-maintenance</t>
  </si>
  <si>
    <t>Annual Maintenance Contracts in Dubai</t>
  </si>
  <si>
    <t>Get a free quote | What an AMC Covers | Want a contract that fits your property? | Why Put Your Property on an AMC | How to Set Up an AMC | Scheduled maintenance in practice | How AMC Pricing Works | AMC Coverage Across Dubai | AMC Questions</t>
  </si>
  <si>
    <t>ac-service-dubai, handyman-services, office-commercial-cleaning, holiday-home-cleaning</t>
  </si>
  <si>
    <t>TOTAL</t>
  </si>
  <si>
    <t>Chars</t>
  </si>
  <si>
    <t>In range 50-60</t>
  </si>
  <si>
    <t>In range 140-160</t>
  </si>
  <si>
    <t>Unique title</t>
  </si>
  <si>
    <t>Unique description</t>
  </si>
  <si>
    <t>WCAG 2.1 contrast - computed with the official relative-luminance formula, not assumed</t>
  </si>
  <si>
    <t>AA requires 4.5:1 for normal text, 3:1 for large text and non-text UI components. Every ratio below is calculated by build/audit_final.py from the live hex values.</t>
  </si>
  <si>
    <t>Element</t>
  </si>
  <si>
    <t>Foreground</t>
  </si>
  <si>
    <t>Background</t>
  </si>
  <si>
    <t>Ratio</t>
  </si>
  <si>
    <t>Required</t>
  </si>
  <si>
    <t>Result</t>
  </si>
  <si>
    <t>Body text (body on pearl)</t>
  </si>
  <si>
    <t>#3B4636</t>
  </si>
  <si>
    <t>#F5F2EC</t>
  </si>
  <si>
    <t>Body text on white (cards)</t>
  </si>
  <si>
    <t>#FFFFFF</t>
  </si>
  <si>
    <t>Secondary text #54594C (lead / section copy)</t>
  </si>
  <si>
    <t>#54594C</t>
  </si>
  <si>
    <t>Secondary text on white (anchor-card p)</t>
  </si>
  <si>
    <t>Card body #44483D (list items)</t>
  </si>
  <si>
    <t>#44483D</t>
  </si>
  <si>
    <t>Eyebrow (sage-text/pearl) (eyebrow kicker)</t>
  </si>
  <si>
    <t>#5E6C4F</t>
  </si>
  <si>
    <t>Eyebrow (sage-text/white) (drop-col heading)</t>
  </si>
  <si>
    <t>Stone meta #6F6B63 (fine print / captions)</t>
  </si>
  <si>
    <t>#6F6B63</t>
  </si>
  <si>
    <t>Stone on white (lp-fineprint)</t>
  </si>
  <si>
    <t>Nav link #5A5F52 (nav-links a)</t>
  </si>
  <si>
    <t>#5A5F52</t>
  </si>
  <si>
    <t>Primary btn label (btn-primary [BRAND DECISION])</t>
  </si>
  <si>
    <t>#7E8F70</t>
  </si>
  <si>
    <t>WhatsApp btn label (btn-wa [BRAND DECISION])</t>
  </si>
  <si>
    <t>#25D366</t>
  </si>
  <si>
    <t>Ghost btn label (btn-ghost)</t>
  </si>
  <si>
    <t>Footer text #BBC4B0 (footer a)</t>
  </si>
  <si>
    <t>#BBC4B0</t>
  </si>
  <si>
    <t>#2E372B</t>
  </si>
  <si>
    <t>Footer muted #9AA391 (foot-legal)</t>
  </si>
  <si>
    <t>#9AA391</t>
  </si>
  <si>
    <t>Footer tag #9AA391 (foot-bottom)</t>
  </si>
  <si>
    <t>Footer heading pearl (footer h2.fh)</t>
  </si>
  <si>
    <t>Pillar body #BBC4B0 (pillar p (moss-deep))</t>
  </si>
  <si>
    <t>Pillar body on moss (pillar p)</t>
  </si>
  <si>
    <t>CTA band body #C9D2BF (cta-band p)</t>
  </si>
  <si>
    <t>#C9D2BF</t>
  </si>
  <si>
    <t>Trust pill #54594C (trust span)</t>
  </si>
  <si>
    <t>#ECE6D8</t>
  </si>
  <si>
    <t>Area chip #44483D (area-chips span)</t>
  </si>
  <si>
    <t>Error text #B04A3E (err-msg)</t>
  </si>
  <si>
    <t>#B04A3E</t>
  </si>
  <si>
    <t>#FDF4F2</t>
  </si>
  <si>
    <t>Link sage-text underline (ctx-note a)</t>
  </si>
  <si>
    <t>H1 / large heading (h1, h2)</t>
  </si>
  <si>
    <t>Gallery tag on overlay (gal-tag (85% moss))</t>
  </si>
  <si>
    <t>Sage icon/border (non-text) (checkmarks, icons - 3:1 UI threshold)</t>
  </si>
  <si>
    <t>Combinations checked</t>
  </si>
  <si>
    <t>Failing WCAG AA</t>
  </si>
  <si>
    <t>Live GTM container audit - GTM-KD4PH4XP</t>
  </si>
  <si>
    <t>Fetched and parsed from the live container, not the stale repository export. The repo copy of gtm-nacravo-container.json shows only 3 tags; the live container has 18.</t>
  </si>
  <si>
    <t>Finding</t>
  </si>
  <si>
    <t>Severity</t>
  </si>
  <si>
    <t>Detail</t>
  </si>
  <si>
    <t>Impact</t>
  </si>
  <si>
    <t>Remediation</t>
  </si>
  <si>
    <t>Built-in trigger double-counting</t>
  </si>
  <si>
    <t>Resolved - not an issue</t>
  </si>
  <si>
    <t>Confirmed by parsing the live container: all 12 triggers are custom-event equality checks. No gtm.formSubmit / gtm.linkClick / gtm.historyChange trigger is bound to any tag. Built-in listeners push to dataLayer but nothing consumes them.</t>
  </si>
  <si>
    <t>None. The built-in listeners push to dataLayer but no tag consumes them.</t>
  </si>
  <si>
    <t>No action. This closes the open question raised in the previous report.</t>
  </si>
  <si>
    <t>Duplicate GA4 generate_lead tag</t>
  </si>
  <si>
    <t>P1 - Blocking</t>
  </si>
  <si>
    <t>Tag ID 25 (7 params incl page_path/page_title/form_name) and tag ID 48 (4 params: lead_type, service_name, currency, value) both fire GA4 generate_lead to G-N2VGBEBELF on the same custom-event trigger. KEEP 25, PAUSE 48.</t>
  </si>
  <si>
    <t>Every lead is recorded TWICE in GA4. Conversion counts and rates in GA4 are inflated by 100 percent.</t>
  </si>
  <si>
    <t>Pause or delete one of the two tags in GTM. No site code change required.</t>
  </si>
  <si>
    <t>Google Ads conversion tag</t>
  </si>
  <si>
    <t>Correct</t>
  </si>
  <si>
    <t>Exactly one __awct tag (ID 49), conversion ID 18246691744, label J2SlCMja0M0cEKDX2fxD, firing on generate_lead only. Verify in the Ads account that no GA4-IMPORTED conversion action also counts leads alongside this tag.</t>
  </si>
  <si>
    <t>Google Ads conversions are NOT duplicated.</t>
  </si>
  <si>
    <t>No action.</t>
  </si>
  <si>
    <t>Conversion value is zero</t>
  </si>
  <si>
    <t>P2 - High</t>
  </si>
  <si>
    <t>The Ads tag reads {{value}} and {{currency}}. The site pushes value: 0, currency: AED.</t>
  </si>
  <si>
    <t>Value-based bidding strategies cannot optimise; all conversions look identically worthless.</t>
  </si>
  <si>
    <t>Push an estimated lead value per service, or set a default conversion value in Google Ads.</t>
  </si>
  <si>
    <t>GOOGLE_ADS_ID empty in site config</t>
  </si>
  <si>
    <t>Not an issue - correction</t>
  </si>
  <si>
    <t>NACRAVO_TRACKING.GOOGLE_ADS_ID is empty, but LOAD_PIXELS_DIRECTLY is false, so the site never loads Ads directly. The conversion is wired in GTM.</t>
  </si>
  <si>
    <t>None. A previous report recommended filling this in; that recommendation was wrong.</t>
  </si>
  <si>
    <t>Leave empty. Filling it in while GTM also fires the conversion WOULD create duplicates.</t>
  </si>
  <si>
    <t>Six paused tags in container</t>
  </si>
  <si>
    <t>Informational</t>
  </si>
  <si>
    <t>Six tags are in __paused state, including ones bound to generate_lead, phone_click and whatsapp_click.</t>
  </si>
  <si>
    <t>No runtime impact, but they suggest earlier iterations were left behind.</t>
  </si>
  <si>
    <t>Review and delete if genuinely obsolete, to keep the container auditable.</t>
  </si>
  <si>
    <t>Event coverage</t>
  </si>
  <si>
    <t>GA4 tags exist for generate_lead, form_submit, quote_click, booking_click, cta_click, service_view, whatsapp_click, phone_click, outbound_click, page_view.</t>
  </si>
  <si>
    <t>Full funnel visibility.</t>
  </si>
  <si>
    <t>Page</t>
  </si>
  <si>
    <t>In-links from</t>
  </si>
  <si>
    <t>Related services (4)</t>
  </si>
  <si>
    <t>Contextual in-body links</t>
  </si>
  <si>
    <t>Orphan?</t>
  </si>
  <si>
    <t>deep-cleaning, move-in-out-cleaning, specialized-cleaning#sofa-cleaning</t>
  </si>
  <si>
    <t>home-cleaning, specialized-cleaning, move-in-out-cleaning</t>
  </si>
  <si>
    <t>deep-cleaning, handyman-services, pest-control</t>
  </si>
  <si>
    <t>deep-cleaning, specialized-cleaning, annual-maintenance</t>
  </si>
  <si>
    <t>ac-service-dubai, handyman-services, specialized-cleaning#carpet-cleaning</t>
  </si>
  <si>
    <t>deep-cleaning, move-in-out-cleaning, home-cleaning</t>
  </si>
  <si>
    <t>deep-cleaning, move-in-out-cleaning, office-commercial-cleaning</t>
  </si>
  <si>
    <t>annual-maintenance, handyman-services, office-commercial-cleaning</t>
  </si>
  <si>
    <t>ac-service-dubai, annual-maintenance, move-in-out-cleaning</t>
  </si>
  <si>
    <t>handyman-services, ac-service-dubai, holiday-home-cleaning</t>
  </si>
  <si>
    <t>Orphan pages</t>
  </si>
  <si>
    <t>Area</t>
  </si>
  <si>
    <t>Item</t>
  </si>
  <si>
    <t>Status</t>
  </si>
  <si>
    <t>Evidence / note</t>
  </si>
  <si>
    <t>Technical SEO</t>
  </si>
  <si>
    <t>Unique title tags</t>
  </si>
  <si>
    <t>Completed</t>
  </si>
  <si>
    <t>All 23 pages, enforced by build/qa.py</t>
  </si>
  <si>
    <t>Unique meta descriptions</t>
  </si>
  <si>
    <t>All 140-160 chars</t>
  </si>
  <si>
    <t>Self-referencing canonicals</t>
  </si>
  <si>
    <t>Absolute, no trailing slash, no .html</t>
  </si>
  <si>
    <t>Robots.txt</t>
  </si>
  <si>
    <t>Allow /, disallow /thank-you, sitemap declared</t>
  </si>
  <si>
    <t>XML sitemap</t>
  </si>
  <si>
    <t>23 URLs, each verified to exist on disk</t>
  </si>
  <si>
    <t>HTML sitemap</t>
  </si>
  <si>
    <t>Grouped Cleaning / Maintenance / Legal</t>
  </si>
  <si>
    <t>Redirect chains</t>
  </si>
  <si>
    <t>None - verified by build/audit_final.py</t>
  </si>
  <si>
    <t>Redirect loops</t>
  </si>
  <si>
    <t>None</t>
  </si>
  <si>
    <t>Trailing slash consistency</t>
  </si>
  <si>
    <t>All internal links extensionless</t>
  </si>
  <si>
    <t>Clean URL consistency</t>
  </si>
  <si>
    <t>No .html in any internal link</t>
  </si>
  <si>
    <t>Broken internal links</t>
  </si>
  <si>
    <t>Zero</t>
  </si>
  <si>
    <t>Broken anchors</t>
  </si>
  <si>
    <t>Zero - every #fragment resolves</t>
  </si>
  <si>
    <t>Broken images</t>
  </si>
  <si>
    <t>Zero - 34/34 referenced files exist</t>
  </si>
  <si>
    <t>Orphan assets</t>
  </si>
  <si>
    <t>Zero unreferenced images</t>
  </si>
  <si>
    <t>hreflang</t>
  </si>
  <si>
    <t>Not applicable</t>
  </si>
  <si>
    <t>Single language (en-AE), no alternate locales</t>
  </si>
  <si>
    <t>On-page SEO</t>
  </si>
  <si>
    <t>Single H1 per page</t>
  </si>
  <si>
    <t>Enforced by QA</t>
  </si>
  <si>
    <t>Heading hierarchy, no skips</t>
  </si>
  <si>
    <t>Was h2-&gt;h4 sitewide, fixed</t>
  </si>
  <si>
    <t>Keyword in title / H1 / lead</t>
  </si>
  <si>
    <t>All 10 landing pages</t>
  </si>
  <si>
    <t>Thin content</t>
  </si>
  <si>
    <t>Minimum 2,016 words on landing pages</t>
  </si>
  <si>
    <t>Keyword cannibalization</t>
  </si>
  <si>
    <t>Reviewed</t>
  </si>
  <si>
    <t>Overlap only in generic CTA words</t>
  </si>
  <si>
    <t>Semantic HTML</t>
  </si>
  <si>
    <t>main/header/footer/nav/section/figure</t>
  </si>
  <si>
    <t>Structured data</t>
  </si>
  <si>
    <t>Service schema</t>
  </si>
  <si>
    <t>10 landing pages + hub</t>
  </si>
  <si>
    <t>Breadcrumb schema</t>
  </si>
  <si>
    <t>3 levels</t>
  </si>
  <si>
    <t>FAQ schema</t>
  </si>
  <si>
    <t>89 Q&amp;A pairs</t>
  </si>
  <si>
    <t>JSON-LD validity</t>
  </si>
  <si>
    <t>Parsed on every build</t>
  </si>
  <si>
    <t>AggregateRating / Review</t>
  </si>
  <si>
    <t>Blocked</t>
  </si>
  <si>
    <t>No verified review corpus - would be fabricated</t>
  </si>
  <si>
    <t>Offer / priceRange</t>
  </si>
  <si>
    <t>No published prices</t>
  </si>
  <si>
    <t>ALT coverage</t>
  </si>
  <si>
    <t>100 percent</t>
  </si>
  <si>
    <t>ALT accuracy</t>
  </si>
  <si>
    <t>Rewritten to describe before/after composites</t>
  </si>
  <si>
    <t>Responsive srcset / sizes</t>
  </si>
  <si>
    <t>All images</t>
  </si>
  <si>
    <t>Lazy loading</t>
  </si>
  <si>
    <t>Intrinsic dimensions</t>
  </si>
  <si>
    <t>Read from real JPEG headers</t>
  </si>
  <si>
    <t>Same image twice on a page</t>
  </si>
  <si>
    <t>Eliminated</t>
  </si>
  <si>
    <t>Cross-page image reuse</t>
  </si>
  <si>
    <t>Pending</t>
  </si>
  <si>
    <t>ba-living / ba-bathroom on 6 pages - needs more photography</t>
  </si>
  <si>
    <t>Pest control photography</t>
  </si>
  <si>
    <t>None exists - documented placeholder</t>
  </si>
  <si>
    <t>AC hero photography</t>
  </si>
  <si>
    <t>None exists - page runs without a hero image</t>
  </si>
  <si>
    <t>Accessibility</t>
  </si>
  <si>
    <t>Keyboard navigation</t>
  </si>
  <si>
    <t>All controls reachable, Escape closes dropdown</t>
  </si>
  <si>
    <t>Visible focus</t>
  </si>
  <si>
    <t>3px focus-visible outline added sitewide</t>
  </si>
  <si>
    <t>Form labels</t>
  </si>
  <si>
    <t>ARIA attributes</t>
  </si>
  <si>
    <t>aria-expanded, aria-label, aria-live, aria-hidden</t>
  </si>
  <si>
    <t>Landmarks + skip link</t>
  </si>
  <si>
    <t>main/header/footer/nav + skip link</t>
  </si>
  <si>
    <t>Touch targets</t>
  </si>
  <si>
    <t>None under 44px at 375px</t>
  </si>
  <si>
    <t>Text contrast WCAG AA</t>
  </si>
  <si>
    <t>Improved</t>
  </si>
  <si>
    <t>9 failures found, 7 fixed</t>
  </si>
  <si>
    <t>Button contrast WCAG AA</t>
  </si>
  <si>
    <t>2 failures - requires a branding decision</t>
  </si>
  <si>
    <t>Performance</t>
  </si>
  <si>
    <t>Shared cached CSS / JS</t>
  </si>
  <si>
    <t>Replaces 11 inline copies</t>
  </si>
  <si>
    <t>LCP element is text</t>
  </si>
  <si>
    <t>No render-blocking hero image</t>
  </si>
  <si>
    <t>CLS prevention</t>
  </si>
  <si>
    <t>Real width/height on every image</t>
  </si>
  <si>
    <t>JavaScript on AC page</t>
  </si>
  <si>
    <t>Reduced to zero</t>
  </si>
  <si>
    <t>CSS duplication</t>
  </si>
  <si>
    <t>Extractor de-duplication bug fixed</t>
  </si>
  <si>
    <t>Lighthouse field data</t>
  </si>
  <si>
    <t>Run post-deploy</t>
  </si>
  <si>
    <t>Analytics</t>
  </si>
  <si>
    <t>generate_lead fires once</t>
  </si>
  <si>
    <t>Verified in browser, double-click guarded</t>
  </si>
  <si>
    <t>WhatsApp / phone / CTA tracking</t>
  </si>
  <si>
    <t>Delegated listener with dedupe</t>
  </si>
  <si>
    <t>Built-in trigger double-count</t>
  </si>
  <si>
    <t>Investigated live container - not an issue</t>
  </si>
  <si>
    <t>Live GTM has TWO tags on one trigger</t>
  </si>
  <si>
    <t>Google Ads conversion</t>
  </si>
  <si>
    <t>Single tag, ID 18246691744</t>
  </si>
  <si>
    <t>Conversion value</t>
  </si>
  <si>
    <t>Sends value 0 - blocks value-based bidding</t>
  </si>
  <si>
    <t>Local SEO</t>
  </si>
  <si>
    <t>Service area consistency</t>
  </si>
  <si>
    <t>AC scoped to 3 districts, verified</t>
  </si>
  <si>
    <t>NAP consistency</t>
  </si>
  <si>
    <t>One phone, one email, one WhatsApp number</t>
  </si>
  <si>
    <t>Community coverage</t>
  </si>
  <si>
    <t>10 communities on general pages</t>
  </si>
  <si>
    <t>Google Business Profile</t>
  </si>
  <si>
    <t>Outside repository</t>
  </si>
  <si>
    <t>Local citations</t>
  </si>
  <si>
    <t>Content</t>
  </si>
  <si>
    <t>No fabricated claims</t>
  </si>
  <si>
    <t>Enforced by build/verify_content.py</t>
  </si>
  <si>
    <t>Testimonials removed</t>
  </si>
  <si>
    <t>5 unverified reviews deleted</t>
  </si>
  <si>
    <t>Pricing on page</t>
  </si>
  <si>
    <t>No verified prices supplied</t>
  </si>
  <si>
    <t>Blog / informational content</t>
  </si>
  <si>
    <t>Recommended</t>
  </si>
  <si>
    <t>Total items</t>
  </si>
  <si>
    <t>#</t>
  </si>
  <si>
    <t>Priority</t>
  </si>
  <si>
    <t>Recommendation</t>
  </si>
  <si>
    <t>Why it matters</t>
  </si>
  <si>
    <t>What to do</t>
  </si>
  <si>
    <t>Owner</t>
  </si>
  <si>
    <t>Effort</t>
  </si>
  <si>
    <t>Fix duplicate GA4 generate_lead tag in live GTM</t>
  </si>
  <si>
    <t>Tags 25 and 48 both fire GA4 generate_lead to G-N2VGBEBELF on the same trigger. Every lead is counted twice in GA4. Google Ads is unaffected (single conversion tag).</t>
  </si>
  <si>
    <t>Pause or delete one of the two tags in GTM. No code change needed.</t>
  </si>
  <si>
    <t>GTM admin</t>
  </si>
  <si>
    <t>15 minutes</t>
  </si>
  <si>
    <t>Decide on button contrast (WCAG AA)</t>
  </si>
  <si>
    <t>Primary button label 3.11:1 and WhatsApp button label 1.98:1 both fail WCAG AA 4.5:1. Sage is a mid-tone, so it fails with light AND dark labels.</t>
  </si>
  <si>
    <t>Either darken the primary button to #5F6E53 (4.89:1) and accept a slightly deeper green, or accept the risk and document it. WhatsApp green is a recognised brand colour - most sites keep it.</t>
  </si>
  <si>
    <t>Brand owner</t>
  </si>
  <si>
    <t>1 hour</t>
  </si>
  <si>
    <t>Commission pest control photography</t>
  </si>
  <si>
    <t>No pest control imagery exists. The page ships a documented placeholder rather than borrowed cleaning photos.</t>
  </si>
  <si>
    <t>Shoot: technician inspecting for cockroach/ant activity, bed bug mattress inspection, commercial kitchen treatment.</t>
  </si>
  <si>
    <t>Marketing</t>
  </si>
  <si>
    <t>1 shoot</t>
  </si>
  <si>
    <t>Commission AC service photography</t>
  </si>
  <si>
    <t>ba-ducts is the only AC-specific asset and it is used by the before/after section, so the page runs without a hero image.</t>
  </si>
  <si>
    <t>Shoot: technician servicing a wall-mounted split unit, chemical wash in progress, coil cleaning detail.</t>
  </si>
  <si>
    <t>Set a conversion value</t>
  </si>
  <si>
    <t>The Ads conversion tag reads {{value}}, and the dataLayer pushes value 0. Value-based bidding cannot work.</t>
  </si>
  <si>
    <t>Push an estimated lead value per service in the generate_lead event, or set a default conversion value in Google Ads.</t>
  </si>
  <si>
    <t>Marketing + dev</t>
  </si>
  <si>
    <t>2 hours</t>
  </si>
  <si>
    <t>Google Business Profile alignment</t>
  </si>
  <si>
    <t>Highest-leverage local SEO item not in this repository.</t>
  </si>
  <si>
    <t>Complete the profile, add service categories matching the 10 landing pages, link each service to its page, post photos.</t>
  </si>
  <si>
    <t>1 day</t>
  </si>
  <si>
    <t>P3 - Medium</t>
  </si>
  <si>
    <t>Review collection programme</t>
  </si>
  <si>
    <t>No review schema is implemented because no verified review corpus exists.</t>
  </si>
  <si>
    <t>Collect Google reviews, then surface them with genuine AggregateRating markup.</t>
  </si>
  <si>
    <t>Operations</t>
  </si>
  <si>
    <t>Ongoing</t>
  </si>
  <si>
    <t>Additional before/after photography</t>
  </si>
  <si>
    <t>ba-living and ba-bathroom each appear on 6 pages. Only 7 composites exist for 6 gallery pages.</t>
  </si>
  <si>
    <t>Shoot 6-8 more before/after pairs so each page can carry a distinct set.</t>
  </si>
  <si>
    <t>Run Lighthouse post-deploy</t>
  </si>
  <si>
    <t>No CrUX field data exists for these URLs yet. Current performance claims are architectural, not measured.</t>
  </si>
  <si>
    <t>Run Lighthouse on all 10 landing pages after deploy and record LCP/CLS/INP.</t>
  </si>
  <si>
    <t>Dev</t>
  </si>
  <si>
    <t>Publish trade licence and VAT TRN</t>
  </si>
  <si>
    <t>Both are placeholder comments in the footer. Real UAE customers and Google both value verifiable business identity.</t>
  </si>
  <si>
    <t>Supply the numbers; they go into the footer and Organization schema.</t>
  </si>
  <si>
    <t>Business owner</t>
  </si>
  <si>
    <t>P4 - Later</t>
  </si>
  <si>
    <t>Blog for informational intent</t>
  </si>
  <si>
    <t>Landing pages own commercial intent and should not chase how-to queries.</t>
  </si>
  <si>
    <t>Publish Dubai-specific guides: AC servicing frequency in summer, tenancy handover checklists, bed bug preparation.</t>
  </si>
  <si>
    <t>Per-community landing pages</t>
  </si>
  <si>
    <t>Only once the core ten mature, and only for communities with genuine booking volume.</t>
  </si>
  <si>
    <t>Avoid spinning up thin location pages - that creates a thin-content problem rather than solving one.</t>
  </si>
  <si>
    <t>Later</t>
  </si>
  <si>
    <t>Backlink acquisition</t>
  </si>
  <si>
    <t>No backlink work has been done.</t>
  </si>
  <si>
    <t>Target property managers, holiday-home operators and real-estate agencies in covered communities.</t>
  </si>
  <si>
    <t>Production readiness score</t>
  </si>
  <si>
    <t>Weighted across the dimensions below. Scores are a considered judgement, not a computed metric - the weights and scores are inputs you can change (yellow cells).</t>
  </si>
  <si>
    <t>Dimension</t>
  </si>
  <si>
    <t>Weight %</t>
  </si>
  <si>
    <t>Score /10</t>
  </si>
  <si>
    <t>Weighted</t>
  </si>
  <si>
    <t>Basis</t>
  </si>
  <si>
    <t>Zero broken links, anchors, chains or loops; all metadata unique</t>
  </si>
  <si>
    <t>10 distinct keyword clusters, 2,000+ words each, no cannibalization</t>
  </si>
  <si>
    <t>3 schema types per page, all valid; rating/price blocked on business inputs</t>
  </si>
  <si>
    <t>Internal linking</t>
  </si>
  <si>
    <t>Zero orphans, contextual + navigational layers</t>
  </si>
  <si>
    <t>Conversion / Ads readiness</t>
  </si>
  <si>
    <t>Form above fold verified; conversion value still 0</t>
  </si>
  <si>
    <t>Site-side correct and single-fire; live GTM has a duplicate GA4 tag</t>
  </si>
  <si>
    <t>7 of 9 contrast failures fixed; 2 button failures need a brand decision</t>
  </si>
  <si>
    <t>Text LCP, shared cached assets, zero JS on AC page; no field data yet</t>
  </si>
  <si>
    <t>Content quality</t>
  </si>
  <si>
    <t>Original, specific, no fabricated claims; photography gaps remain</t>
  </si>
  <si>
    <t>Weights must total 100</t>
  </si>
  <si>
    <t>Overall readiness</t>
  </si>
  <si>
    <t>Weighted score expressed out of 100</t>
  </si>
  <si>
    <t>Blocking issues open</t>
  </si>
  <si>
    <t>Button contrast (brand decision) + duplicate GA4 tag (GTM admin)</t>
  </si>
  <si>
    <t>Safe to deploy?</t>
  </si>
  <si>
    <t>Yes - with the two blockers tracked</t>
  </si>
  <si>
    <t>Neither blocker is in site code; both are external decisions</t>
  </si>
  <si>
    <t>Legend: yellow cells are inputs you can change. Blue text marks a hardcoded input; black marks a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</si>
</sst>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3B4636"/>
      <name val="Arial"/>
    </font>
    <font>
      <i/>
      <sz val="10"/>
      <name val="Arial"/>
    </font>
    <font>
      <i/>
      <sz val="9"/>
      <color rgb="FF6F6B63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3B4636"/>
      <name val="Arial"/>
    </font>
    <font>
      <b/>
      <sz val="14"/>
      <color rgb="FF3B4636"/>
      <name val="Arial"/>
    </font>
  </fonts>
  <fills count="8">
    <fill>
      <patternFill patternType="none"/>
    </fill>
    <fill>
      <patternFill patternType="gray125"/>
    </fill>
    <fill>
      <patternFill patternType="solid">
        <fgColor rgb="FF3B4636"/>
      </patternFill>
    </fill>
    <fill>
      <patternFill patternType="solid">
        <fgColor rgb="FFE8E0D0"/>
      </patternFill>
    </fill>
    <fill>
      <patternFill patternType="solid">
        <fgColor rgb="FFE7EFE0"/>
      </patternFill>
    </fill>
    <fill>
      <patternFill patternType="solid">
        <fgColor rgb="FFFBE6E2"/>
      </patternFill>
    </fill>
    <fill>
      <patternFill patternType="solid">
        <fgColor rgb="FFFDF3E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/>
    </xf>
    <xf numFmtId="0" fontId="7" fillId="0" borderId="0" xfId="0" applyFont="1"/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vertical="top"/>
    </xf>
    <xf numFmtId="0" fontId="5" fillId="5" borderId="1" xfId="0" applyFont="1" applyFill="1" applyBorder="1" applyAlignment="1">
      <alignment horizontal="center" vertical="top"/>
    </xf>
    <xf numFmtId="0" fontId="6" fillId="0" borderId="0" xfId="0" applyFont="1"/>
    <xf numFmtId="0" fontId="5" fillId="6" borderId="1" xfId="0" applyFont="1" applyFill="1" applyBorder="1" applyAlignment="1">
      <alignment vertical="top"/>
    </xf>
    <xf numFmtId="0" fontId="5" fillId="6" borderId="1" xfId="0" applyFont="1" applyFill="1" applyBorder="1" applyAlignment="1">
      <alignment horizontal="center" vertical="top"/>
    </xf>
    <xf numFmtId="0" fontId="8" fillId="0" borderId="0" xfId="0" applyFont="1"/>
    <xf numFmtId="0" fontId="5" fillId="7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42" customWidth="1"/>
    <col min="2" max="2" width="20" customWidth="1"/>
    <col min="3" max="3" width="72" customWidth="1"/>
  </cols>
  <sheetData>
    <row r="1" spans="1:3" ht="20.25" customHeight="1" x14ac:dyDescent="0.3">
      <c r="A1" s="1" t="s">
        <v>0</v>
      </c>
    </row>
    <row r="2" spans="1:3" x14ac:dyDescent="0.25">
      <c r="A2" s="2" t="s">
        <v>1</v>
      </c>
    </row>
    <row r="4" spans="1:3" x14ac:dyDescent="0.25">
      <c r="A4" s="24" t="s">
        <v>2</v>
      </c>
      <c r="B4" s="25"/>
      <c r="C4" s="25"/>
    </row>
    <row r="6" spans="1:3" ht="30" customHeight="1" x14ac:dyDescent="0.25">
      <c r="A6" s="4" t="s">
        <v>3</v>
      </c>
      <c r="B6" s="4" t="s">
        <v>4</v>
      </c>
      <c r="C6" s="4" t="s">
        <v>5</v>
      </c>
    </row>
    <row r="7" spans="1:3" x14ac:dyDescent="0.25">
      <c r="A7" s="5" t="s">
        <v>6</v>
      </c>
      <c r="B7" s="6">
        <v>10</v>
      </c>
      <c r="C7" s="7" t="s">
        <v>7</v>
      </c>
    </row>
    <row r="8" spans="1:3" x14ac:dyDescent="0.25">
      <c r="A8" s="5" t="s">
        <v>8</v>
      </c>
      <c r="B8" s="6">
        <v>1</v>
      </c>
      <c r="C8" s="7" t="s">
        <v>9</v>
      </c>
    </row>
    <row r="9" spans="1:3" x14ac:dyDescent="0.25">
      <c r="A9" s="5" t="s">
        <v>10</v>
      </c>
      <c r="B9" s="6">
        <v>23</v>
      </c>
      <c r="C9" s="7" t="s">
        <v>11</v>
      </c>
    </row>
    <row r="10" spans="1:3" x14ac:dyDescent="0.25">
      <c r="A10" s="5" t="s">
        <v>12</v>
      </c>
      <c r="B10" s="6">
        <v>77</v>
      </c>
      <c r="C10" s="7" t="s">
        <v>13</v>
      </c>
    </row>
    <row r="11" spans="1:3" x14ac:dyDescent="0.25">
      <c r="A11" s="5" t="s">
        <v>14</v>
      </c>
      <c r="B11" s="6">
        <v>77</v>
      </c>
      <c r="C11" s="7" t="s">
        <v>15</v>
      </c>
    </row>
    <row r="12" spans="1:3" x14ac:dyDescent="0.25">
      <c r="A12" s="5" t="s">
        <v>16</v>
      </c>
      <c r="B12" s="6">
        <v>23452</v>
      </c>
      <c r="C12" s="7" t="s">
        <v>17</v>
      </c>
    </row>
    <row r="13" spans="1:3" x14ac:dyDescent="0.25">
      <c r="A13" s="5" t="s">
        <v>18</v>
      </c>
      <c r="B13" s="6">
        <v>30</v>
      </c>
      <c r="C13" s="7" t="s">
        <v>19</v>
      </c>
    </row>
    <row r="14" spans="1:3" x14ac:dyDescent="0.25">
      <c r="A14" s="5" t="s">
        <v>20</v>
      </c>
      <c r="B14" s="6">
        <v>15</v>
      </c>
      <c r="C14" s="7" t="s">
        <v>21</v>
      </c>
    </row>
    <row r="15" spans="1:3" x14ac:dyDescent="0.25">
      <c r="A15" s="5" t="s">
        <v>22</v>
      </c>
      <c r="B15" s="6">
        <v>227</v>
      </c>
      <c r="C15" s="7" t="s">
        <v>23</v>
      </c>
    </row>
    <row r="16" spans="1:3" x14ac:dyDescent="0.25">
      <c r="A16" s="5" t="s">
        <v>24</v>
      </c>
      <c r="B16" s="6">
        <v>34</v>
      </c>
      <c r="C16" s="7" t="s">
        <v>25</v>
      </c>
    </row>
    <row r="17" spans="1:3" x14ac:dyDescent="0.25">
      <c r="A17" s="5" t="s">
        <v>26</v>
      </c>
      <c r="B17" s="6">
        <v>7</v>
      </c>
      <c r="C17" s="7" t="s">
        <v>27</v>
      </c>
    </row>
    <row r="18" spans="1:3" x14ac:dyDescent="0.25">
      <c r="A18" s="5" t="s">
        <v>28</v>
      </c>
      <c r="B18" s="6">
        <v>2</v>
      </c>
      <c r="C18" s="7" t="s">
        <v>29</v>
      </c>
    </row>
    <row r="19" spans="1:3" x14ac:dyDescent="0.25">
      <c r="A19" s="8" t="s">
        <v>30</v>
      </c>
      <c r="B19" s="9">
        <f>COUNTA('On-Page SEO'!A2:A11)+13</f>
        <v>23</v>
      </c>
      <c r="C19" s="7" t="s">
        <v>31</v>
      </c>
    </row>
  </sheetData>
  <mergeCells count="1"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26" customWidth="1"/>
    <col min="3" max="3" width="52" customWidth="1"/>
    <col min="4" max="4" width="22" customWidth="1"/>
    <col min="5" max="5" width="40" customWidth="1"/>
    <col min="6" max="6" width="52" customWidth="1"/>
    <col min="7" max="7" width="9" customWidth="1"/>
    <col min="8" max="8" width="62" customWidth="1"/>
    <col min="9" max="9" width="9" customWidth="1"/>
    <col min="10" max="10" width="40" customWidth="1"/>
    <col min="11" max="11" width="34" customWidth="1"/>
    <col min="12" max="12" width="70" customWidth="1"/>
    <col min="13" max="13" width="8" customWidth="1"/>
    <col min="14" max="15" width="6" customWidth="1"/>
    <col min="16" max="16" width="7" customWidth="1"/>
    <col min="17" max="17" width="12" customWidth="1"/>
    <col min="18" max="19" width="8" customWidth="1"/>
    <col min="20" max="20" width="13" customWidth="1"/>
    <col min="21" max="21" width="46" customWidth="1"/>
    <col min="22" max="22" width="30" customWidth="1"/>
    <col min="23" max="24" width="56" customWidth="1"/>
    <col min="25" max="25" width="44" customWidth="1"/>
  </cols>
  <sheetData>
    <row r="1" spans="1:25" ht="42" customHeight="1" x14ac:dyDescent="0.25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52</v>
      </c>
      <c r="V1" s="4" t="s">
        <v>53</v>
      </c>
      <c r="W1" s="4" t="s">
        <v>54</v>
      </c>
      <c r="X1" s="4" t="s">
        <v>55</v>
      </c>
      <c r="Y1" s="4" t="s">
        <v>56</v>
      </c>
    </row>
    <row r="2" spans="1:25" ht="45.95" customHeight="1" x14ac:dyDescent="0.25">
      <c r="A2" s="5" t="s">
        <v>57</v>
      </c>
      <c r="B2" s="5" t="s">
        <v>58</v>
      </c>
      <c r="C2" s="7" t="s">
        <v>59</v>
      </c>
      <c r="D2" s="5" t="s">
        <v>60</v>
      </c>
      <c r="E2" s="7" t="s">
        <v>61</v>
      </c>
      <c r="F2" s="7" t="s">
        <v>62</v>
      </c>
      <c r="G2" s="6">
        <v>52</v>
      </c>
      <c r="H2" s="7" t="s">
        <v>63</v>
      </c>
      <c r="I2" s="6">
        <v>153</v>
      </c>
      <c r="J2" s="5" t="s">
        <v>64</v>
      </c>
      <c r="K2" s="5" t="s">
        <v>65</v>
      </c>
      <c r="L2" s="7" t="s">
        <v>66</v>
      </c>
      <c r="M2" s="6">
        <v>2420</v>
      </c>
      <c r="N2" s="6">
        <v>17</v>
      </c>
      <c r="O2" s="6">
        <v>27</v>
      </c>
      <c r="P2" s="6">
        <v>6</v>
      </c>
      <c r="Q2" s="6">
        <v>10</v>
      </c>
      <c r="R2" s="6">
        <v>4</v>
      </c>
      <c r="S2" s="6">
        <f t="shared" ref="S2:S11" si="0">IF(R2=0,"n/a",1)</f>
        <v>1</v>
      </c>
      <c r="T2" s="6">
        <v>22</v>
      </c>
      <c r="U2" s="7" t="s">
        <v>67</v>
      </c>
      <c r="V2" s="5" t="s">
        <v>68</v>
      </c>
      <c r="W2" s="7" t="s">
        <v>69</v>
      </c>
      <c r="X2" s="7" t="s">
        <v>70</v>
      </c>
      <c r="Y2" s="7" t="s">
        <v>71</v>
      </c>
    </row>
    <row r="3" spans="1:25" ht="45.95" customHeight="1" x14ac:dyDescent="0.25">
      <c r="A3" s="5" t="s">
        <v>72</v>
      </c>
      <c r="B3" s="5" t="s">
        <v>73</v>
      </c>
      <c r="C3" s="7" t="s">
        <v>74</v>
      </c>
      <c r="D3" s="5" t="s">
        <v>75</v>
      </c>
      <c r="E3" s="7" t="s">
        <v>76</v>
      </c>
      <c r="F3" s="7" t="s">
        <v>77</v>
      </c>
      <c r="G3" s="6">
        <v>51</v>
      </c>
      <c r="H3" s="7" t="s">
        <v>78</v>
      </c>
      <c r="I3" s="6">
        <v>157</v>
      </c>
      <c r="J3" s="5" t="s">
        <v>79</v>
      </c>
      <c r="K3" s="5" t="s">
        <v>80</v>
      </c>
      <c r="L3" s="7" t="s">
        <v>81</v>
      </c>
      <c r="M3" s="6">
        <v>2057</v>
      </c>
      <c r="N3" s="6">
        <v>17</v>
      </c>
      <c r="O3" s="6">
        <v>22</v>
      </c>
      <c r="P3" s="6">
        <v>6</v>
      </c>
      <c r="Q3" s="6">
        <v>5</v>
      </c>
      <c r="R3" s="6">
        <v>4</v>
      </c>
      <c r="S3" s="6">
        <f t="shared" si="0"/>
        <v>1</v>
      </c>
      <c r="T3" s="6">
        <v>22</v>
      </c>
      <c r="U3" s="7" t="s">
        <v>82</v>
      </c>
      <c r="V3" s="5" t="s">
        <v>68</v>
      </c>
      <c r="W3" s="7" t="s">
        <v>69</v>
      </c>
      <c r="X3" s="7" t="s">
        <v>70</v>
      </c>
      <c r="Y3" s="7" t="s">
        <v>71</v>
      </c>
    </row>
    <row r="4" spans="1:25" ht="45.95" customHeight="1" x14ac:dyDescent="0.25">
      <c r="A4" s="5" t="s">
        <v>83</v>
      </c>
      <c r="B4" s="5" t="s">
        <v>84</v>
      </c>
      <c r="C4" s="7" t="s">
        <v>85</v>
      </c>
      <c r="D4" s="5" t="s">
        <v>86</v>
      </c>
      <c r="E4" s="7" t="s">
        <v>87</v>
      </c>
      <c r="F4" s="7" t="s">
        <v>88</v>
      </c>
      <c r="G4" s="6">
        <v>50</v>
      </c>
      <c r="H4" s="7" t="s">
        <v>89</v>
      </c>
      <c r="I4" s="6">
        <v>154</v>
      </c>
      <c r="J4" s="5" t="s">
        <v>90</v>
      </c>
      <c r="K4" s="5" t="s">
        <v>91</v>
      </c>
      <c r="L4" s="7" t="s">
        <v>92</v>
      </c>
      <c r="M4" s="6">
        <v>2404</v>
      </c>
      <c r="N4" s="6">
        <v>17</v>
      </c>
      <c r="O4" s="6">
        <v>26</v>
      </c>
      <c r="P4" s="6">
        <v>6</v>
      </c>
      <c r="Q4" s="6">
        <v>9</v>
      </c>
      <c r="R4" s="6">
        <v>4</v>
      </c>
      <c r="S4" s="6">
        <f t="shared" si="0"/>
        <v>1</v>
      </c>
      <c r="T4" s="6">
        <v>22</v>
      </c>
      <c r="U4" s="7" t="s">
        <v>93</v>
      </c>
      <c r="V4" s="5" t="s">
        <v>68</v>
      </c>
      <c r="W4" s="7" t="s">
        <v>69</v>
      </c>
      <c r="X4" s="7" t="s">
        <v>70</v>
      </c>
      <c r="Y4" s="7" t="s">
        <v>71</v>
      </c>
    </row>
    <row r="5" spans="1:25" ht="45.95" customHeight="1" x14ac:dyDescent="0.25">
      <c r="A5" s="5" t="s">
        <v>94</v>
      </c>
      <c r="B5" s="5" t="s">
        <v>95</v>
      </c>
      <c r="C5" s="7" t="s">
        <v>96</v>
      </c>
      <c r="D5" s="5" t="s">
        <v>97</v>
      </c>
      <c r="E5" s="7" t="s">
        <v>98</v>
      </c>
      <c r="F5" s="7" t="s">
        <v>99</v>
      </c>
      <c r="G5" s="6">
        <v>51</v>
      </c>
      <c r="H5" s="7" t="s">
        <v>100</v>
      </c>
      <c r="I5" s="6">
        <v>157</v>
      </c>
      <c r="J5" s="5" t="s">
        <v>101</v>
      </c>
      <c r="K5" s="5" t="s">
        <v>102</v>
      </c>
      <c r="L5" s="7" t="s">
        <v>103</v>
      </c>
      <c r="M5" s="6">
        <v>2121</v>
      </c>
      <c r="N5" s="6">
        <v>17</v>
      </c>
      <c r="O5" s="6">
        <v>23</v>
      </c>
      <c r="P5" s="6">
        <v>6</v>
      </c>
      <c r="Q5" s="6">
        <v>6</v>
      </c>
      <c r="R5" s="6">
        <v>4</v>
      </c>
      <c r="S5" s="6">
        <f t="shared" si="0"/>
        <v>1</v>
      </c>
      <c r="T5" s="6">
        <v>22</v>
      </c>
      <c r="U5" s="7" t="s">
        <v>104</v>
      </c>
      <c r="V5" s="5" t="s">
        <v>68</v>
      </c>
      <c r="W5" s="7" t="s">
        <v>69</v>
      </c>
      <c r="X5" s="7" t="s">
        <v>70</v>
      </c>
      <c r="Y5" s="7" t="s">
        <v>71</v>
      </c>
    </row>
    <row r="6" spans="1:25" ht="45.95" customHeight="1" x14ac:dyDescent="0.25">
      <c r="A6" s="5" t="s">
        <v>105</v>
      </c>
      <c r="B6" s="5" t="s">
        <v>106</v>
      </c>
      <c r="C6" s="7" t="s">
        <v>107</v>
      </c>
      <c r="D6" s="5" t="s">
        <v>108</v>
      </c>
      <c r="E6" s="7" t="s">
        <v>109</v>
      </c>
      <c r="F6" s="7" t="s">
        <v>110</v>
      </c>
      <c r="G6" s="6">
        <v>53</v>
      </c>
      <c r="H6" s="7" t="s">
        <v>111</v>
      </c>
      <c r="I6" s="6">
        <v>154</v>
      </c>
      <c r="J6" s="5" t="s">
        <v>112</v>
      </c>
      <c r="K6" s="5" t="s">
        <v>113</v>
      </c>
      <c r="L6" s="7" t="s">
        <v>114</v>
      </c>
      <c r="M6" s="6">
        <v>2305</v>
      </c>
      <c r="N6" s="6">
        <v>17</v>
      </c>
      <c r="O6" s="6">
        <v>26</v>
      </c>
      <c r="P6" s="6">
        <v>6</v>
      </c>
      <c r="Q6" s="6">
        <v>9</v>
      </c>
      <c r="R6" s="6">
        <v>4</v>
      </c>
      <c r="S6" s="6">
        <f t="shared" si="0"/>
        <v>1</v>
      </c>
      <c r="T6" s="6">
        <v>22</v>
      </c>
      <c r="U6" s="7" t="s">
        <v>115</v>
      </c>
      <c r="V6" s="5" t="s">
        <v>68</v>
      </c>
      <c r="W6" s="7" t="s">
        <v>69</v>
      </c>
      <c r="X6" s="7" t="s">
        <v>70</v>
      </c>
      <c r="Y6" s="7" t="s">
        <v>71</v>
      </c>
    </row>
    <row r="7" spans="1:25" ht="45.95" customHeight="1" x14ac:dyDescent="0.25">
      <c r="A7" s="5" t="s">
        <v>116</v>
      </c>
      <c r="B7" s="5" t="s">
        <v>117</v>
      </c>
      <c r="C7" s="7" t="s">
        <v>118</v>
      </c>
      <c r="D7" s="5" t="s">
        <v>119</v>
      </c>
      <c r="E7" s="7" t="s">
        <v>120</v>
      </c>
      <c r="F7" s="7" t="s">
        <v>121</v>
      </c>
      <c r="G7" s="6">
        <v>52</v>
      </c>
      <c r="H7" s="7" t="s">
        <v>122</v>
      </c>
      <c r="I7" s="6">
        <v>155</v>
      </c>
      <c r="J7" s="5" t="s">
        <v>123</v>
      </c>
      <c r="K7" s="5" t="s">
        <v>124</v>
      </c>
      <c r="L7" s="7" t="s">
        <v>125</v>
      </c>
      <c r="M7" s="6">
        <v>2016</v>
      </c>
      <c r="N7" s="6">
        <v>17</v>
      </c>
      <c r="O7" s="6">
        <v>22</v>
      </c>
      <c r="P7" s="6">
        <v>6</v>
      </c>
      <c r="Q7" s="6">
        <v>5</v>
      </c>
      <c r="R7" s="6">
        <v>4</v>
      </c>
      <c r="S7" s="6">
        <f t="shared" si="0"/>
        <v>1</v>
      </c>
      <c r="T7" s="6">
        <v>22</v>
      </c>
      <c r="U7" s="7" t="s">
        <v>126</v>
      </c>
      <c r="V7" s="5" t="s">
        <v>68</v>
      </c>
      <c r="W7" s="7" t="s">
        <v>69</v>
      </c>
      <c r="X7" s="7" t="s">
        <v>70</v>
      </c>
      <c r="Y7" s="7" t="s">
        <v>71</v>
      </c>
    </row>
    <row r="8" spans="1:25" ht="45.95" customHeight="1" x14ac:dyDescent="0.25">
      <c r="A8" s="5" t="s">
        <v>127</v>
      </c>
      <c r="B8" s="5" t="s">
        <v>128</v>
      </c>
      <c r="C8" s="7" t="s">
        <v>129</v>
      </c>
      <c r="D8" s="5" t="s">
        <v>130</v>
      </c>
      <c r="E8" s="7" t="s">
        <v>131</v>
      </c>
      <c r="F8" s="7" t="s">
        <v>132</v>
      </c>
      <c r="G8" s="6">
        <v>55</v>
      </c>
      <c r="H8" s="7" t="s">
        <v>133</v>
      </c>
      <c r="I8" s="6">
        <v>155</v>
      </c>
      <c r="J8" s="5" t="s">
        <v>134</v>
      </c>
      <c r="K8" s="5" t="s">
        <v>135</v>
      </c>
      <c r="L8" s="7" t="s">
        <v>136</v>
      </c>
      <c r="M8" s="6">
        <v>2019</v>
      </c>
      <c r="N8" s="6">
        <v>16</v>
      </c>
      <c r="O8" s="6">
        <v>23</v>
      </c>
      <c r="P8" s="6">
        <v>6</v>
      </c>
      <c r="Q8" s="6">
        <v>6</v>
      </c>
      <c r="R8" s="6">
        <v>1</v>
      </c>
      <c r="S8" s="6">
        <f t="shared" si="0"/>
        <v>1</v>
      </c>
      <c r="T8" s="6">
        <v>22</v>
      </c>
      <c r="U8" s="7" t="s">
        <v>137</v>
      </c>
      <c r="V8" s="5" t="s">
        <v>68</v>
      </c>
      <c r="W8" s="7" t="s">
        <v>69</v>
      </c>
      <c r="X8" s="7" t="s">
        <v>70</v>
      </c>
      <c r="Y8" s="7" t="s">
        <v>71</v>
      </c>
    </row>
    <row r="9" spans="1:25" ht="45.95" customHeight="1" x14ac:dyDescent="0.25">
      <c r="A9" s="5" t="s">
        <v>138</v>
      </c>
      <c r="B9" s="5" t="s">
        <v>139</v>
      </c>
      <c r="C9" s="7" t="s">
        <v>140</v>
      </c>
      <c r="D9" s="5" t="s">
        <v>141</v>
      </c>
      <c r="E9" s="7" t="s">
        <v>142</v>
      </c>
      <c r="F9" s="7" t="s">
        <v>143</v>
      </c>
      <c r="G9" s="6">
        <v>52</v>
      </c>
      <c r="H9" s="7" t="s">
        <v>144</v>
      </c>
      <c r="I9" s="6">
        <v>153</v>
      </c>
      <c r="J9" s="5" t="s">
        <v>145</v>
      </c>
      <c r="K9" s="5" t="s">
        <v>146</v>
      </c>
      <c r="L9" s="7" t="s">
        <v>147</v>
      </c>
      <c r="M9" s="6">
        <v>3608</v>
      </c>
      <c r="N9" s="6">
        <v>22</v>
      </c>
      <c r="O9" s="6">
        <v>54</v>
      </c>
      <c r="P9" s="6">
        <v>23</v>
      </c>
      <c r="Q9" s="6">
        <v>10</v>
      </c>
      <c r="R9" s="6">
        <v>1</v>
      </c>
      <c r="S9" s="6">
        <f t="shared" si="0"/>
        <v>1</v>
      </c>
      <c r="T9" s="6">
        <v>22</v>
      </c>
      <c r="U9" s="7" t="s">
        <v>148</v>
      </c>
      <c r="V9" s="5" t="s">
        <v>68</v>
      </c>
      <c r="W9" s="7" t="s">
        <v>69</v>
      </c>
      <c r="X9" s="7" t="s">
        <v>70</v>
      </c>
      <c r="Y9" s="7" t="s">
        <v>149</v>
      </c>
    </row>
    <row r="10" spans="1:25" ht="45.95" customHeight="1" x14ac:dyDescent="0.25">
      <c r="A10" s="5" t="s">
        <v>150</v>
      </c>
      <c r="B10" s="5" t="s">
        <v>151</v>
      </c>
      <c r="C10" s="7" t="s">
        <v>152</v>
      </c>
      <c r="D10" s="5" t="s">
        <v>153</v>
      </c>
      <c r="E10" s="7" t="s">
        <v>154</v>
      </c>
      <c r="F10" s="7" t="s">
        <v>155</v>
      </c>
      <c r="G10" s="6">
        <v>53</v>
      </c>
      <c r="H10" s="7" t="s">
        <v>156</v>
      </c>
      <c r="I10" s="6">
        <v>152</v>
      </c>
      <c r="J10" s="5" t="s">
        <v>157</v>
      </c>
      <c r="K10" s="5" t="s">
        <v>158</v>
      </c>
      <c r="L10" s="7" t="s">
        <v>159</v>
      </c>
      <c r="M10" s="6">
        <v>2412</v>
      </c>
      <c r="N10" s="6">
        <v>17</v>
      </c>
      <c r="O10" s="6">
        <v>28</v>
      </c>
      <c r="P10" s="6">
        <v>6</v>
      </c>
      <c r="Q10" s="6">
        <v>11</v>
      </c>
      <c r="R10" s="6">
        <v>4</v>
      </c>
      <c r="S10" s="6">
        <f t="shared" si="0"/>
        <v>1</v>
      </c>
      <c r="T10" s="6">
        <v>22</v>
      </c>
      <c r="U10" s="7" t="s">
        <v>160</v>
      </c>
      <c r="V10" s="5" t="s">
        <v>68</v>
      </c>
      <c r="W10" s="7" t="s">
        <v>69</v>
      </c>
      <c r="X10" s="7" t="s">
        <v>70</v>
      </c>
      <c r="Y10" s="7" t="s">
        <v>71</v>
      </c>
    </row>
    <row r="11" spans="1:25" ht="45.95" customHeight="1" x14ac:dyDescent="0.25">
      <c r="A11" s="5" t="s">
        <v>161</v>
      </c>
      <c r="B11" s="5" t="s">
        <v>162</v>
      </c>
      <c r="C11" s="7" t="s">
        <v>163</v>
      </c>
      <c r="D11" s="5" t="s">
        <v>164</v>
      </c>
      <c r="E11" s="7" t="s">
        <v>165</v>
      </c>
      <c r="F11" s="7" t="s">
        <v>166</v>
      </c>
      <c r="G11" s="6">
        <v>53</v>
      </c>
      <c r="H11" s="7" t="s">
        <v>167</v>
      </c>
      <c r="I11" s="6">
        <v>155</v>
      </c>
      <c r="J11" s="5" t="s">
        <v>168</v>
      </c>
      <c r="K11" s="5" t="s">
        <v>169</v>
      </c>
      <c r="L11" s="7" t="s">
        <v>170</v>
      </c>
      <c r="M11" s="6">
        <v>2090</v>
      </c>
      <c r="N11" s="6">
        <v>17</v>
      </c>
      <c r="O11" s="6">
        <v>23</v>
      </c>
      <c r="P11" s="6">
        <v>6</v>
      </c>
      <c r="Q11" s="6">
        <v>6</v>
      </c>
      <c r="R11" s="6">
        <v>4</v>
      </c>
      <c r="S11" s="6">
        <f t="shared" si="0"/>
        <v>1</v>
      </c>
      <c r="T11" s="6">
        <v>22</v>
      </c>
      <c r="U11" s="7" t="s">
        <v>171</v>
      </c>
      <c r="V11" s="5" t="s">
        <v>68</v>
      </c>
      <c r="W11" s="7" t="s">
        <v>69</v>
      </c>
      <c r="X11" s="7" t="s">
        <v>70</v>
      </c>
      <c r="Y11" s="7" t="s">
        <v>71</v>
      </c>
    </row>
    <row r="12" spans="1:25" ht="45.95" customHeight="1" x14ac:dyDescent="0.25">
      <c r="A12" s="10" t="s">
        <v>172</v>
      </c>
      <c r="B12" s="10"/>
      <c r="C12" s="11"/>
      <c r="D12" s="10"/>
      <c r="E12" s="11"/>
      <c r="F12" s="11"/>
      <c r="G12" s="12"/>
      <c r="H12" s="11"/>
      <c r="I12" s="12"/>
      <c r="J12" s="10"/>
      <c r="K12" s="10"/>
      <c r="L12" s="11"/>
      <c r="M12" s="12">
        <f t="shared" ref="M12:R12" si="1">SUM(M2:M11)</f>
        <v>23452</v>
      </c>
      <c r="N12" s="12">
        <f t="shared" si="1"/>
        <v>174</v>
      </c>
      <c r="O12" s="12">
        <f t="shared" si="1"/>
        <v>274</v>
      </c>
      <c r="P12" s="12">
        <f t="shared" si="1"/>
        <v>77</v>
      </c>
      <c r="Q12" s="12">
        <f t="shared" si="1"/>
        <v>77</v>
      </c>
      <c r="R12" s="12">
        <f t="shared" si="1"/>
        <v>34</v>
      </c>
      <c r="S12" s="12"/>
      <c r="T12" s="12">
        <f>SUM(T2:T11)</f>
        <v>220</v>
      </c>
      <c r="U12" s="11"/>
      <c r="V12" s="10"/>
      <c r="W12" s="11"/>
      <c r="X12" s="11"/>
      <c r="Y12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2" width="56" customWidth="1"/>
    <col min="3" max="3" width="8" customWidth="1"/>
    <col min="4" max="4" width="14" customWidth="1"/>
    <col min="5" max="5" width="66" customWidth="1"/>
    <col min="6" max="6" width="8" customWidth="1"/>
    <col min="7" max="7" width="16" customWidth="1"/>
    <col min="8" max="8" width="40" customWidth="1"/>
    <col min="9" max="9" width="13" customWidth="1"/>
    <col min="10" max="10" width="17" customWidth="1"/>
  </cols>
  <sheetData>
    <row r="1" spans="1:10" ht="33.950000000000003" customHeight="1" x14ac:dyDescent="0.25">
      <c r="A1" s="4" t="s">
        <v>32</v>
      </c>
      <c r="B1" s="4" t="s">
        <v>37</v>
      </c>
      <c r="C1" s="4" t="s">
        <v>173</v>
      </c>
      <c r="D1" s="4" t="s">
        <v>174</v>
      </c>
      <c r="E1" s="4" t="s">
        <v>39</v>
      </c>
      <c r="F1" s="4" t="s">
        <v>173</v>
      </c>
      <c r="G1" s="4" t="s">
        <v>175</v>
      </c>
      <c r="H1" s="4" t="s">
        <v>41</v>
      </c>
      <c r="I1" s="4" t="s">
        <v>176</v>
      </c>
      <c r="J1" s="4" t="s">
        <v>177</v>
      </c>
    </row>
    <row r="2" spans="1:10" ht="32.1" customHeight="1" x14ac:dyDescent="0.25">
      <c r="A2" s="5" t="s">
        <v>57</v>
      </c>
      <c r="B2" s="7" t="s">
        <v>62</v>
      </c>
      <c r="C2" s="5">
        <v>52</v>
      </c>
      <c r="D2" s="5" t="str">
        <f t="shared" ref="D2:D11" si="0">IF(AND(C2&gt;=50,C2&lt;=60),"Yes","Review")</f>
        <v>Yes</v>
      </c>
      <c r="E2" s="7" t="s">
        <v>63</v>
      </c>
      <c r="F2" s="5">
        <v>153</v>
      </c>
      <c r="G2" s="5" t="str">
        <f t="shared" ref="G2:G11" si="1">IF(AND(F2&gt;=140,F2&lt;=160),"Yes","Review")</f>
        <v>Yes</v>
      </c>
      <c r="H2" s="5" t="s">
        <v>64</v>
      </c>
      <c r="I2" s="5" t="str">
        <f t="shared" ref="I2:I11" si="2">IF(COUNTIF($B$2:$B$11,B2)=1,"Yes","DUPLICATE")</f>
        <v>Yes</v>
      </c>
      <c r="J2" s="5" t="str">
        <f t="shared" ref="J2:J11" si="3">IF(COUNTIF($E$2:$E$11,E2)=1,"Yes","DUPLICATE")</f>
        <v>Yes</v>
      </c>
    </row>
    <row r="3" spans="1:10" ht="32.1" customHeight="1" x14ac:dyDescent="0.25">
      <c r="A3" s="5" t="s">
        <v>72</v>
      </c>
      <c r="B3" s="7" t="s">
        <v>77</v>
      </c>
      <c r="C3" s="5">
        <v>51</v>
      </c>
      <c r="D3" s="5" t="str">
        <f t="shared" si="0"/>
        <v>Yes</v>
      </c>
      <c r="E3" s="7" t="s">
        <v>78</v>
      </c>
      <c r="F3" s="5">
        <v>157</v>
      </c>
      <c r="G3" s="5" t="str">
        <f t="shared" si="1"/>
        <v>Yes</v>
      </c>
      <c r="H3" s="5" t="s">
        <v>79</v>
      </c>
      <c r="I3" s="5" t="str">
        <f t="shared" si="2"/>
        <v>Yes</v>
      </c>
      <c r="J3" s="5" t="str">
        <f t="shared" si="3"/>
        <v>Yes</v>
      </c>
    </row>
    <row r="4" spans="1:10" ht="32.1" customHeight="1" x14ac:dyDescent="0.25">
      <c r="A4" s="5" t="s">
        <v>83</v>
      </c>
      <c r="B4" s="7" t="s">
        <v>88</v>
      </c>
      <c r="C4" s="5">
        <v>50</v>
      </c>
      <c r="D4" s="5" t="str">
        <f t="shared" si="0"/>
        <v>Yes</v>
      </c>
      <c r="E4" s="7" t="s">
        <v>89</v>
      </c>
      <c r="F4" s="5">
        <v>154</v>
      </c>
      <c r="G4" s="5" t="str">
        <f t="shared" si="1"/>
        <v>Yes</v>
      </c>
      <c r="H4" s="5" t="s">
        <v>90</v>
      </c>
      <c r="I4" s="5" t="str">
        <f t="shared" si="2"/>
        <v>Yes</v>
      </c>
      <c r="J4" s="5" t="str">
        <f t="shared" si="3"/>
        <v>Yes</v>
      </c>
    </row>
    <row r="5" spans="1:10" ht="32.1" customHeight="1" x14ac:dyDescent="0.25">
      <c r="A5" s="5" t="s">
        <v>94</v>
      </c>
      <c r="B5" s="7" t="s">
        <v>99</v>
      </c>
      <c r="C5" s="5">
        <v>51</v>
      </c>
      <c r="D5" s="5" t="str">
        <f t="shared" si="0"/>
        <v>Yes</v>
      </c>
      <c r="E5" s="7" t="s">
        <v>100</v>
      </c>
      <c r="F5" s="5">
        <v>157</v>
      </c>
      <c r="G5" s="5" t="str">
        <f t="shared" si="1"/>
        <v>Yes</v>
      </c>
      <c r="H5" s="5" t="s">
        <v>101</v>
      </c>
      <c r="I5" s="5" t="str">
        <f t="shared" si="2"/>
        <v>Yes</v>
      </c>
      <c r="J5" s="5" t="str">
        <f t="shared" si="3"/>
        <v>Yes</v>
      </c>
    </row>
    <row r="6" spans="1:10" ht="32.1" customHeight="1" x14ac:dyDescent="0.25">
      <c r="A6" s="5" t="s">
        <v>105</v>
      </c>
      <c r="B6" s="7" t="s">
        <v>110</v>
      </c>
      <c r="C6" s="5">
        <v>53</v>
      </c>
      <c r="D6" s="5" t="str">
        <f t="shared" si="0"/>
        <v>Yes</v>
      </c>
      <c r="E6" s="7" t="s">
        <v>111</v>
      </c>
      <c r="F6" s="5">
        <v>154</v>
      </c>
      <c r="G6" s="5" t="str">
        <f t="shared" si="1"/>
        <v>Yes</v>
      </c>
      <c r="H6" s="5" t="s">
        <v>112</v>
      </c>
      <c r="I6" s="5" t="str">
        <f t="shared" si="2"/>
        <v>Yes</v>
      </c>
      <c r="J6" s="5" t="str">
        <f t="shared" si="3"/>
        <v>Yes</v>
      </c>
    </row>
    <row r="7" spans="1:10" ht="32.1" customHeight="1" x14ac:dyDescent="0.25">
      <c r="A7" s="5" t="s">
        <v>116</v>
      </c>
      <c r="B7" s="7" t="s">
        <v>121</v>
      </c>
      <c r="C7" s="5">
        <v>52</v>
      </c>
      <c r="D7" s="5" t="str">
        <f t="shared" si="0"/>
        <v>Yes</v>
      </c>
      <c r="E7" s="7" t="s">
        <v>122</v>
      </c>
      <c r="F7" s="5">
        <v>155</v>
      </c>
      <c r="G7" s="5" t="str">
        <f t="shared" si="1"/>
        <v>Yes</v>
      </c>
      <c r="H7" s="5" t="s">
        <v>123</v>
      </c>
      <c r="I7" s="5" t="str">
        <f t="shared" si="2"/>
        <v>Yes</v>
      </c>
      <c r="J7" s="5" t="str">
        <f t="shared" si="3"/>
        <v>Yes</v>
      </c>
    </row>
    <row r="8" spans="1:10" ht="32.1" customHeight="1" x14ac:dyDescent="0.25">
      <c r="A8" s="5" t="s">
        <v>127</v>
      </c>
      <c r="B8" s="7" t="s">
        <v>132</v>
      </c>
      <c r="C8" s="5">
        <v>55</v>
      </c>
      <c r="D8" s="5" t="str">
        <f t="shared" si="0"/>
        <v>Yes</v>
      </c>
      <c r="E8" s="7" t="s">
        <v>133</v>
      </c>
      <c r="F8" s="5">
        <v>155</v>
      </c>
      <c r="G8" s="5" t="str">
        <f t="shared" si="1"/>
        <v>Yes</v>
      </c>
      <c r="H8" s="5" t="s">
        <v>134</v>
      </c>
      <c r="I8" s="5" t="str">
        <f t="shared" si="2"/>
        <v>Yes</v>
      </c>
      <c r="J8" s="5" t="str">
        <f t="shared" si="3"/>
        <v>Yes</v>
      </c>
    </row>
    <row r="9" spans="1:10" ht="32.1" customHeight="1" x14ac:dyDescent="0.25">
      <c r="A9" s="5" t="s">
        <v>138</v>
      </c>
      <c r="B9" s="7" t="s">
        <v>143</v>
      </c>
      <c r="C9" s="5">
        <v>52</v>
      </c>
      <c r="D9" s="5" t="str">
        <f t="shared" si="0"/>
        <v>Yes</v>
      </c>
      <c r="E9" s="7" t="s">
        <v>144</v>
      </c>
      <c r="F9" s="5">
        <v>153</v>
      </c>
      <c r="G9" s="5" t="str">
        <f t="shared" si="1"/>
        <v>Yes</v>
      </c>
      <c r="H9" s="5" t="s">
        <v>145</v>
      </c>
      <c r="I9" s="5" t="str">
        <f t="shared" si="2"/>
        <v>Yes</v>
      </c>
      <c r="J9" s="5" t="str">
        <f t="shared" si="3"/>
        <v>Yes</v>
      </c>
    </row>
    <row r="10" spans="1:10" ht="32.1" customHeight="1" x14ac:dyDescent="0.25">
      <c r="A10" s="5" t="s">
        <v>150</v>
      </c>
      <c r="B10" s="7" t="s">
        <v>155</v>
      </c>
      <c r="C10" s="5">
        <v>53</v>
      </c>
      <c r="D10" s="5" t="str">
        <f t="shared" si="0"/>
        <v>Yes</v>
      </c>
      <c r="E10" s="7" t="s">
        <v>156</v>
      </c>
      <c r="F10" s="5">
        <v>152</v>
      </c>
      <c r="G10" s="5" t="str">
        <f t="shared" si="1"/>
        <v>Yes</v>
      </c>
      <c r="H10" s="5" t="s">
        <v>157</v>
      </c>
      <c r="I10" s="5" t="str">
        <f t="shared" si="2"/>
        <v>Yes</v>
      </c>
      <c r="J10" s="5" t="str">
        <f t="shared" si="3"/>
        <v>Yes</v>
      </c>
    </row>
    <row r="11" spans="1:10" ht="32.1" customHeight="1" x14ac:dyDescent="0.25">
      <c r="A11" s="5" t="s">
        <v>161</v>
      </c>
      <c r="B11" s="7" t="s">
        <v>166</v>
      </c>
      <c r="C11" s="5">
        <v>53</v>
      </c>
      <c r="D11" s="5" t="str">
        <f t="shared" si="0"/>
        <v>Yes</v>
      </c>
      <c r="E11" s="7" t="s">
        <v>167</v>
      </c>
      <c r="F11" s="5">
        <v>155</v>
      </c>
      <c r="G11" s="5" t="str">
        <f t="shared" si="1"/>
        <v>Yes</v>
      </c>
      <c r="H11" s="5" t="s">
        <v>168</v>
      </c>
      <c r="I11" s="5" t="str">
        <f t="shared" si="2"/>
        <v>Yes</v>
      </c>
      <c r="J11" s="5" t="str">
        <f t="shared" si="3"/>
        <v>Yes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6" customWidth="1"/>
    <col min="2" max="3" width="14" customWidth="1"/>
    <col min="4" max="4" width="10" customWidth="1"/>
    <col min="5" max="5" width="11" customWidth="1"/>
    <col min="6" max="6" width="10" customWidth="1"/>
  </cols>
  <sheetData>
    <row r="1" spans="1:6" ht="15.75" customHeight="1" x14ac:dyDescent="0.25">
      <c r="A1" s="13" t="s">
        <v>178</v>
      </c>
    </row>
    <row r="2" spans="1:6" x14ac:dyDescent="0.25">
      <c r="A2" s="24" t="s">
        <v>179</v>
      </c>
      <c r="B2" s="25"/>
      <c r="C2" s="25"/>
      <c r="D2" s="25"/>
      <c r="E2" s="25"/>
      <c r="F2" s="25"/>
    </row>
    <row r="4" spans="1:6" ht="30" customHeight="1" x14ac:dyDescent="0.25">
      <c r="A4" s="4" t="s">
        <v>180</v>
      </c>
      <c r="B4" s="4" t="s">
        <v>181</v>
      </c>
      <c r="C4" s="4" t="s">
        <v>182</v>
      </c>
      <c r="D4" s="4" t="s">
        <v>183</v>
      </c>
      <c r="E4" s="4" t="s">
        <v>184</v>
      </c>
      <c r="F4" s="4" t="s">
        <v>185</v>
      </c>
    </row>
    <row r="5" spans="1:6" x14ac:dyDescent="0.25">
      <c r="A5" s="14" t="s">
        <v>186</v>
      </c>
      <c r="B5" s="15" t="s">
        <v>187</v>
      </c>
      <c r="C5" s="15" t="s">
        <v>188</v>
      </c>
      <c r="D5" s="15">
        <v>8.89</v>
      </c>
      <c r="E5" s="15">
        <v>4.5</v>
      </c>
      <c r="F5" s="15" t="str">
        <f t="shared" ref="F5:F31" si="0">IF(D5&gt;=E5,"PASS","FAIL")</f>
        <v>PASS</v>
      </c>
    </row>
    <row r="6" spans="1:6" x14ac:dyDescent="0.25">
      <c r="A6" s="14" t="s">
        <v>189</v>
      </c>
      <c r="B6" s="15" t="s">
        <v>187</v>
      </c>
      <c r="C6" s="15" t="s">
        <v>190</v>
      </c>
      <c r="D6" s="15">
        <v>9.93</v>
      </c>
      <c r="E6" s="15">
        <v>4.5</v>
      </c>
      <c r="F6" s="15" t="str">
        <f t="shared" si="0"/>
        <v>PASS</v>
      </c>
    </row>
    <row r="7" spans="1:6" x14ac:dyDescent="0.25">
      <c r="A7" s="14" t="s">
        <v>191</v>
      </c>
      <c r="B7" s="15" t="s">
        <v>192</v>
      </c>
      <c r="C7" s="15" t="s">
        <v>188</v>
      </c>
      <c r="D7" s="15">
        <v>6.46</v>
      </c>
      <c r="E7" s="15">
        <v>4.5</v>
      </c>
      <c r="F7" s="15" t="str">
        <f t="shared" si="0"/>
        <v>PASS</v>
      </c>
    </row>
    <row r="8" spans="1:6" x14ac:dyDescent="0.25">
      <c r="A8" s="14" t="s">
        <v>193</v>
      </c>
      <c r="B8" s="15" t="s">
        <v>192</v>
      </c>
      <c r="C8" s="15" t="s">
        <v>190</v>
      </c>
      <c r="D8" s="15">
        <v>7.22</v>
      </c>
      <c r="E8" s="15">
        <v>4.5</v>
      </c>
      <c r="F8" s="15" t="str">
        <f t="shared" si="0"/>
        <v>PASS</v>
      </c>
    </row>
    <row r="9" spans="1:6" x14ac:dyDescent="0.25">
      <c r="A9" s="14" t="s">
        <v>194</v>
      </c>
      <c r="B9" s="15" t="s">
        <v>195</v>
      </c>
      <c r="C9" s="15" t="s">
        <v>190</v>
      </c>
      <c r="D9" s="15">
        <v>9.3699999999999992</v>
      </c>
      <c r="E9" s="15">
        <v>4.5</v>
      </c>
      <c r="F9" s="15" t="str">
        <f t="shared" si="0"/>
        <v>PASS</v>
      </c>
    </row>
    <row r="10" spans="1:6" x14ac:dyDescent="0.25">
      <c r="A10" s="14" t="s">
        <v>196</v>
      </c>
      <c r="B10" s="15" t="s">
        <v>197</v>
      </c>
      <c r="C10" s="15" t="s">
        <v>188</v>
      </c>
      <c r="D10" s="15">
        <v>5.03</v>
      </c>
      <c r="E10" s="15">
        <v>4.5</v>
      </c>
      <c r="F10" s="15" t="str">
        <f t="shared" si="0"/>
        <v>PASS</v>
      </c>
    </row>
    <row r="11" spans="1:6" x14ac:dyDescent="0.25">
      <c r="A11" s="14" t="s">
        <v>198</v>
      </c>
      <c r="B11" s="15" t="s">
        <v>197</v>
      </c>
      <c r="C11" s="15" t="s">
        <v>190</v>
      </c>
      <c r="D11" s="15">
        <v>5.62</v>
      </c>
      <c r="E11" s="15">
        <v>4.5</v>
      </c>
      <c r="F11" s="15" t="str">
        <f t="shared" si="0"/>
        <v>PASS</v>
      </c>
    </row>
    <row r="12" spans="1:6" x14ac:dyDescent="0.25">
      <c r="A12" s="14" t="s">
        <v>199</v>
      </c>
      <c r="B12" s="15" t="s">
        <v>200</v>
      </c>
      <c r="C12" s="15" t="s">
        <v>188</v>
      </c>
      <c r="D12" s="15">
        <v>4.75</v>
      </c>
      <c r="E12" s="15">
        <v>4.5</v>
      </c>
      <c r="F12" s="15" t="str">
        <f t="shared" si="0"/>
        <v>PASS</v>
      </c>
    </row>
    <row r="13" spans="1:6" x14ac:dyDescent="0.25">
      <c r="A13" s="14" t="s">
        <v>201</v>
      </c>
      <c r="B13" s="15" t="s">
        <v>200</v>
      </c>
      <c r="C13" s="15" t="s">
        <v>190</v>
      </c>
      <c r="D13" s="15">
        <v>5.3</v>
      </c>
      <c r="E13" s="15">
        <v>4.5</v>
      </c>
      <c r="F13" s="15" t="str">
        <f t="shared" si="0"/>
        <v>PASS</v>
      </c>
    </row>
    <row r="14" spans="1:6" x14ac:dyDescent="0.25">
      <c r="A14" s="14" t="s">
        <v>202</v>
      </c>
      <c r="B14" s="15" t="s">
        <v>203</v>
      </c>
      <c r="C14" s="15" t="s">
        <v>188</v>
      </c>
      <c r="D14" s="15">
        <v>5.89</v>
      </c>
      <c r="E14" s="15">
        <v>4.5</v>
      </c>
      <c r="F14" s="15" t="str">
        <f t="shared" si="0"/>
        <v>PASS</v>
      </c>
    </row>
    <row r="15" spans="1:6" x14ac:dyDescent="0.25">
      <c r="A15" s="16" t="s">
        <v>204</v>
      </c>
      <c r="B15" s="17" t="s">
        <v>188</v>
      </c>
      <c r="C15" s="17" t="s">
        <v>205</v>
      </c>
      <c r="D15" s="17">
        <v>3.11</v>
      </c>
      <c r="E15" s="17">
        <v>4.5</v>
      </c>
      <c r="F15" s="17" t="str">
        <f t="shared" si="0"/>
        <v>FAIL</v>
      </c>
    </row>
    <row r="16" spans="1:6" x14ac:dyDescent="0.25">
      <c r="A16" s="16" t="s">
        <v>206</v>
      </c>
      <c r="B16" s="17" t="s">
        <v>190</v>
      </c>
      <c r="C16" s="17" t="s">
        <v>207</v>
      </c>
      <c r="D16" s="17">
        <v>1.98</v>
      </c>
      <c r="E16" s="17">
        <v>4.5</v>
      </c>
      <c r="F16" s="17" t="str">
        <f t="shared" si="0"/>
        <v>FAIL</v>
      </c>
    </row>
    <row r="17" spans="1:6" x14ac:dyDescent="0.25">
      <c r="A17" s="14" t="s">
        <v>208</v>
      </c>
      <c r="B17" s="15" t="s">
        <v>187</v>
      </c>
      <c r="C17" s="15" t="s">
        <v>188</v>
      </c>
      <c r="D17" s="15">
        <v>8.89</v>
      </c>
      <c r="E17" s="15">
        <v>4.5</v>
      </c>
      <c r="F17" s="15" t="str">
        <f t="shared" si="0"/>
        <v>PASS</v>
      </c>
    </row>
    <row r="18" spans="1:6" x14ac:dyDescent="0.25">
      <c r="A18" s="14" t="s">
        <v>209</v>
      </c>
      <c r="B18" s="15" t="s">
        <v>210</v>
      </c>
      <c r="C18" s="15" t="s">
        <v>211</v>
      </c>
      <c r="D18" s="15">
        <v>6.85</v>
      </c>
      <c r="E18" s="15">
        <v>4.5</v>
      </c>
      <c r="F18" s="15" t="str">
        <f t="shared" si="0"/>
        <v>PASS</v>
      </c>
    </row>
    <row r="19" spans="1:6" x14ac:dyDescent="0.25">
      <c r="A19" s="14" t="s">
        <v>212</v>
      </c>
      <c r="B19" s="15" t="s">
        <v>213</v>
      </c>
      <c r="C19" s="15" t="s">
        <v>211</v>
      </c>
      <c r="D19" s="15">
        <v>4.7300000000000004</v>
      </c>
      <c r="E19" s="15">
        <v>4.5</v>
      </c>
      <c r="F19" s="15" t="str">
        <f t="shared" si="0"/>
        <v>PASS</v>
      </c>
    </row>
    <row r="20" spans="1:6" x14ac:dyDescent="0.25">
      <c r="A20" s="14" t="s">
        <v>214</v>
      </c>
      <c r="B20" s="15" t="s">
        <v>213</v>
      </c>
      <c r="C20" s="15" t="s">
        <v>211</v>
      </c>
      <c r="D20" s="15">
        <v>4.7300000000000004</v>
      </c>
      <c r="E20" s="15">
        <v>4.5</v>
      </c>
      <c r="F20" s="15" t="str">
        <f t="shared" si="0"/>
        <v>PASS</v>
      </c>
    </row>
    <row r="21" spans="1:6" x14ac:dyDescent="0.25">
      <c r="A21" s="14" t="s">
        <v>215</v>
      </c>
      <c r="B21" s="15" t="s">
        <v>188</v>
      </c>
      <c r="C21" s="15" t="s">
        <v>211</v>
      </c>
      <c r="D21" s="15">
        <v>11.07</v>
      </c>
      <c r="E21" s="15">
        <v>4.5</v>
      </c>
      <c r="F21" s="15" t="str">
        <f t="shared" si="0"/>
        <v>PASS</v>
      </c>
    </row>
    <row r="22" spans="1:6" x14ac:dyDescent="0.25">
      <c r="A22" s="14" t="s">
        <v>216</v>
      </c>
      <c r="B22" s="15" t="s">
        <v>210</v>
      </c>
      <c r="C22" s="15" t="s">
        <v>211</v>
      </c>
      <c r="D22" s="15">
        <v>6.85</v>
      </c>
      <c r="E22" s="15">
        <v>4.5</v>
      </c>
      <c r="F22" s="15" t="str">
        <f t="shared" si="0"/>
        <v>PASS</v>
      </c>
    </row>
    <row r="23" spans="1:6" x14ac:dyDescent="0.25">
      <c r="A23" s="14" t="s">
        <v>217</v>
      </c>
      <c r="B23" s="15" t="s">
        <v>210</v>
      </c>
      <c r="C23" s="15" t="s">
        <v>187</v>
      </c>
      <c r="D23" s="15">
        <v>5.5</v>
      </c>
      <c r="E23" s="15">
        <v>4.5</v>
      </c>
      <c r="F23" s="15" t="str">
        <f t="shared" si="0"/>
        <v>PASS</v>
      </c>
    </row>
    <row r="24" spans="1:6" x14ac:dyDescent="0.25">
      <c r="A24" s="14" t="s">
        <v>218</v>
      </c>
      <c r="B24" s="15" t="s">
        <v>219</v>
      </c>
      <c r="C24" s="15" t="s">
        <v>187</v>
      </c>
      <c r="D24" s="15">
        <v>6.36</v>
      </c>
      <c r="E24" s="15">
        <v>4.5</v>
      </c>
      <c r="F24" s="15" t="str">
        <f t="shared" si="0"/>
        <v>PASS</v>
      </c>
    </row>
    <row r="25" spans="1:6" x14ac:dyDescent="0.25">
      <c r="A25" s="14" t="s">
        <v>220</v>
      </c>
      <c r="B25" s="15" t="s">
        <v>192</v>
      </c>
      <c r="C25" s="15" t="s">
        <v>221</v>
      </c>
      <c r="D25" s="15">
        <v>5.8</v>
      </c>
      <c r="E25" s="15">
        <v>4.5</v>
      </c>
      <c r="F25" s="15" t="str">
        <f t="shared" si="0"/>
        <v>PASS</v>
      </c>
    </row>
    <row r="26" spans="1:6" x14ac:dyDescent="0.25">
      <c r="A26" s="14" t="s">
        <v>222</v>
      </c>
      <c r="B26" s="15" t="s">
        <v>195</v>
      </c>
      <c r="C26" s="15" t="s">
        <v>190</v>
      </c>
      <c r="D26" s="15">
        <v>9.3699999999999992</v>
      </c>
      <c r="E26" s="15">
        <v>4.5</v>
      </c>
      <c r="F26" s="15" t="str">
        <f t="shared" si="0"/>
        <v>PASS</v>
      </c>
    </row>
    <row r="27" spans="1:6" x14ac:dyDescent="0.25">
      <c r="A27" s="14" t="s">
        <v>223</v>
      </c>
      <c r="B27" s="15" t="s">
        <v>224</v>
      </c>
      <c r="C27" s="15" t="s">
        <v>225</v>
      </c>
      <c r="D27" s="15">
        <v>4.9800000000000004</v>
      </c>
      <c r="E27" s="15">
        <v>4.5</v>
      </c>
      <c r="F27" s="15" t="str">
        <f t="shared" si="0"/>
        <v>PASS</v>
      </c>
    </row>
    <row r="28" spans="1:6" x14ac:dyDescent="0.25">
      <c r="A28" s="14" t="s">
        <v>226</v>
      </c>
      <c r="B28" s="15" t="s">
        <v>197</v>
      </c>
      <c r="C28" s="15" t="s">
        <v>190</v>
      </c>
      <c r="D28" s="15">
        <v>5.62</v>
      </c>
      <c r="E28" s="15">
        <v>4.5</v>
      </c>
      <c r="F28" s="15" t="str">
        <f t="shared" si="0"/>
        <v>PASS</v>
      </c>
    </row>
    <row r="29" spans="1:6" x14ac:dyDescent="0.25">
      <c r="A29" s="14" t="s">
        <v>227</v>
      </c>
      <c r="B29" s="15" t="s">
        <v>187</v>
      </c>
      <c r="C29" s="15" t="s">
        <v>188</v>
      </c>
      <c r="D29" s="15">
        <v>8.89</v>
      </c>
      <c r="E29" s="15">
        <v>3</v>
      </c>
      <c r="F29" s="15" t="str">
        <f t="shared" si="0"/>
        <v>PASS</v>
      </c>
    </row>
    <row r="30" spans="1:6" x14ac:dyDescent="0.25">
      <c r="A30" s="14" t="s">
        <v>228</v>
      </c>
      <c r="B30" s="15" t="s">
        <v>188</v>
      </c>
      <c r="C30" s="15" t="s">
        <v>211</v>
      </c>
      <c r="D30" s="15">
        <v>11.07</v>
      </c>
      <c r="E30" s="15">
        <v>4.5</v>
      </c>
      <c r="F30" s="15" t="str">
        <f t="shared" si="0"/>
        <v>PASS</v>
      </c>
    </row>
    <row r="31" spans="1:6" x14ac:dyDescent="0.25">
      <c r="A31" s="14" t="s">
        <v>229</v>
      </c>
      <c r="B31" s="15" t="s">
        <v>205</v>
      </c>
      <c r="C31" s="15" t="s">
        <v>188</v>
      </c>
      <c r="D31" s="15">
        <v>3.11</v>
      </c>
      <c r="E31" s="15">
        <v>3</v>
      </c>
      <c r="F31" s="15" t="str">
        <f t="shared" si="0"/>
        <v>PASS</v>
      </c>
    </row>
    <row r="33" spans="1:2" x14ac:dyDescent="0.25">
      <c r="A33" s="18" t="s">
        <v>230</v>
      </c>
      <c r="B33" s="18">
        <f>COUNTA(A5:A30)</f>
        <v>26</v>
      </c>
    </row>
    <row r="34" spans="1:2" x14ac:dyDescent="0.25">
      <c r="A34" s="18" t="s">
        <v>231</v>
      </c>
      <c r="B34" s="18">
        <f>COUNTIF(F5:F31,"FAIL")</f>
        <v>2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6" customWidth="1"/>
    <col min="2" max="2" width="24" customWidth="1"/>
    <col min="3" max="3" width="68" customWidth="1"/>
    <col min="4" max="4" width="56" customWidth="1"/>
    <col min="5" max="5" width="60" customWidth="1"/>
  </cols>
  <sheetData>
    <row r="1" spans="1:5" ht="15.75" customHeight="1" x14ac:dyDescent="0.25">
      <c r="A1" s="13" t="s">
        <v>232</v>
      </c>
    </row>
    <row r="2" spans="1:5" x14ac:dyDescent="0.25">
      <c r="A2" s="24" t="s">
        <v>233</v>
      </c>
      <c r="B2" s="25"/>
      <c r="C2" s="25"/>
      <c r="D2" s="25"/>
      <c r="E2" s="25"/>
    </row>
    <row r="4" spans="1:5" ht="30" customHeight="1" x14ac:dyDescent="0.25">
      <c r="A4" s="4" t="s">
        <v>234</v>
      </c>
      <c r="B4" s="4" t="s">
        <v>235</v>
      </c>
      <c r="C4" s="4" t="s">
        <v>236</v>
      </c>
      <c r="D4" s="4" t="s">
        <v>237</v>
      </c>
      <c r="E4" s="4" t="s">
        <v>238</v>
      </c>
    </row>
    <row r="5" spans="1:5" ht="72" customHeight="1" x14ac:dyDescent="0.25">
      <c r="A5" s="7" t="s">
        <v>239</v>
      </c>
      <c r="B5" s="14" t="s">
        <v>240</v>
      </c>
      <c r="C5" s="7" t="s">
        <v>241</v>
      </c>
      <c r="D5" s="7" t="s">
        <v>242</v>
      </c>
      <c r="E5" s="7" t="s">
        <v>243</v>
      </c>
    </row>
    <row r="6" spans="1:5" ht="72" customHeight="1" x14ac:dyDescent="0.25">
      <c r="A6" s="7" t="s">
        <v>244</v>
      </c>
      <c r="B6" s="16" t="s">
        <v>245</v>
      </c>
      <c r="C6" s="7" t="s">
        <v>246</v>
      </c>
      <c r="D6" s="7" t="s">
        <v>247</v>
      </c>
      <c r="E6" s="7" t="s">
        <v>248</v>
      </c>
    </row>
    <row r="7" spans="1:5" ht="72" customHeight="1" x14ac:dyDescent="0.25">
      <c r="A7" s="7" t="s">
        <v>249</v>
      </c>
      <c r="B7" s="14" t="s">
        <v>250</v>
      </c>
      <c r="C7" s="7" t="s">
        <v>251</v>
      </c>
      <c r="D7" s="7" t="s">
        <v>252</v>
      </c>
      <c r="E7" s="7" t="s">
        <v>253</v>
      </c>
    </row>
    <row r="8" spans="1:5" ht="72" customHeight="1" x14ac:dyDescent="0.25">
      <c r="A8" s="7" t="s">
        <v>254</v>
      </c>
      <c r="B8" s="19" t="s">
        <v>255</v>
      </c>
      <c r="C8" s="7" t="s">
        <v>256</v>
      </c>
      <c r="D8" s="7" t="s">
        <v>257</v>
      </c>
      <c r="E8" s="7" t="s">
        <v>258</v>
      </c>
    </row>
    <row r="9" spans="1:5" ht="72" customHeight="1" x14ac:dyDescent="0.25">
      <c r="A9" s="7" t="s">
        <v>259</v>
      </c>
      <c r="B9" s="14" t="s">
        <v>260</v>
      </c>
      <c r="C9" s="7" t="s">
        <v>261</v>
      </c>
      <c r="D9" s="7" t="s">
        <v>262</v>
      </c>
      <c r="E9" s="7" t="s">
        <v>263</v>
      </c>
    </row>
    <row r="10" spans="1:5" ht="72" customHeight="1" x14ac:dyDescent="0.25">
      <c r="A10" s="7" t="s">
        <v>264</v>
      </c>
      <c r="B10" s="14" t="s">
        <v>265</v>
      </c>
      <c r="C10" s="7" t="s">
        <v>266</v>
      </c>
      <c r="D10" s="7" t="s">
        <v>267</v>
      </c>
      <c r="E10" s="7" t="s">
        <v>268</v>
      </c>
    </row>
    <row r="11" spans="1:5" ht="72" customHeight="1" x14ac:dyDescent="0.25">
      <c r="A11" s="7" t="s">
        <v>269</v>
      </c>
      <c r="B11" s="14" t="s">
        <v>250</v>
      </c>
      <c r="C11" s="7" t="s">
        <v>270</v>
      </c>
      <c r="D11" s="7" t="s">
        <v>271</v>
      </c>
      <c r="E11" s="7" t="s">
        <v>253</v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  <col min="3" max="3" width="52" customWidth="1"/>
    <col min="4" max="4" width="62" customWidth="1"/>
    <col min="5" max="5" width="12" customWidth="1"/>
  </cols>
  <sheetData>
    <row r="1" spans="1:5" ht="30" customHeight="1" x14ac:dyDescent="0.25">
      <c r="A1" s="4" t="s">
        <v>272</v>
      </c>
      <c r="B1" s="4" t="s">
        <v>273</v>
      </c>
      <c r="C1" s="4" t="s">
        <v>274</v>
      </c>
      <c r="D1" s="4" t="s">
        <v>275</v>
      </c>
      <c r="E1" s="4" t="s">
        <v>276</v>
      </c>
    </row>
    <row r="2" spans="1:5" ht="32.1" customHeight="1" x14ac:dyDescent="0.25">
      <c r="A2" s="5" t="s">
        <v>57</v>
      </c>
      <c r="B2" s="6">
        <v>11</v>
      </c>
      <c r="C2" s="7" t="s">
        <v>67</v>
      </c>
      <c r="D2" s="7" t="s">
        <v>277</v>
      </c>
      <c r="E2" s="6" t="str">
        <f t="shared" ref="E2:E11" si="0">IF(B2=0,"ORPHAN","No")</f>
        <v>No</v>
      </c>
    </row>
    <row r="3" spans="1:5" ht="32.1" customHeight="1" x14ac:dyDescent="0.25">
      <c r="A3" s="5" t="s">
        <v>72</v>
      </c>
      <c r="B3" s="6">
        <v>11</v>
      </c>
      <c r="C3" s="7" t="s">
        <v>82</v>
      </c>
      <c r="D3" s="7" t="s">
        <v>278</v>
      </c>
      <c r="E3" s="6" t="str">
        <f t="shared" si="0"/>
        <v>No</v>
      </c>
    </row>
    <row r="4" spans="1:5" ht="32.1" customHeight="1" x14ac:dyDescent="0.25">
      <c r="A4" s="5" t="s">
        <v>83</v>
      </c>
      <c r="B4" s="6">
        <v>11</v>
      </c>
      <c r="C4" s="7" t="s">
        <v>93</v>
      </c>
      <c r="D4" s="7" t="s">
        <v>279</v>
      </c>
      <c r="E4" s="6" t="str">
        <f t="shared" si="0"/>
        <v>No</v>
      </c>
    </row>
    <row r="5" spans="1:5" ht="32.1" customHeight="1" x14ac:dyDescent="0.25">
      <c r="A5" s="5" t="s">
        <v>94</v>
      </c>
      <c r="B5" s="6">
        <v>11</v>
      </c>
      <c r="C5" s="7" t="s">
        <v>104</v>
      </c>
      <c r="D5" s="7" t="s">
        <v>280</v>
      </c>
      <c r="E5" s="6" t="str">
        <f t="shared" si="0"/>
        <v>No</v>
      </c>
    </row>
    <row r="6" spans="1:5" ht="32.1" customHeight="1" x14ac:dyDescent="0.25">
      <c r="A6" s="5" t="s">
        <v>105</v>
      </c>
      <c r="B6" s="6">
        <v>11</v>
      </c>
      <c r="C6" s="7" t="s">
        <v>115</v>
      </c>
      <c r="D6" s="7" t="s">
        <v>281</v>
      </c>
      <c r="E6" s="6" t="str">
        <f t="shared" si="0"/>
        <v>No</v>
      </c>
    </row>
    <row r="7" spans="1:5" ht="32.1" customHeight="1" x14ac:dyDescent="0.25">
      <c r="A7" s="5" t="s">
        <v>116</v>
      </c>
      <c r="B7" s="6">
        <v>11</v>
      </c>
      <c r="C7" s="7" t="s">
        <v>126</v>
      </c>
      <c r="D7" s="7" t="s">
        <v>282</v>
      </c>
      <c r="E7" s="6" t="str">
        <f t="shared" si="0"/>
        <v>No</v>
      </c>
    </row>
    <row r="8" spans="1:5" ht="32.1" customHeight="1" x14ac:dyDescent="0.25">
      <c r="A8" s="5" t="s">
        <v>127</v>
      </c>
      <c r="B8" s="6">
        <v>11</v>
      </c>
      <c r="C8" s="7" t="s">
        <v>137</v>
      </c>
      <c r="D8" s="7" t="s">
        <v>283</v>
      </c>
      <c r="E8" s="6" t="str">
        <f t="shared" si="0"/>
        <v>No</v>
      </c>
    </row>
    <row r="9" spans="1:5" ht="32.1" customHeight="1" x14ac:dyDescent="0.25">
      <c r="A9" s="5" t="s">
        <v>138</v>
      </c>
      <c r="B9" s="6">
        <v>11</v>
      </c>
      <c r="C9" s="7" t="s">
        <v>148</v>
      </c>
      <c r="D9" s="7" t="s">
        <v>284</v>
      </c>
      <c r="E9" s="6" t="str">
        <f t="shared" si="0"/>
        <v>No</v>
      </c>
    </row>
    <row r="10" spans="1:5" ht="32.1" customHeight="1" x14ac:dyDescent="0.25">
      <c r="A10" s="5" t="s">
        <v>150</v>
      </c>
      <c r="B10" s="6">
        <v>11</v>
      </c>
      <c r="C10" s="7" t="s">
        <v>160</v>
      </c>
      <c r="D10" s="7" t="s">
        <v>285</v>
      </c>
      <c r="E10" s="6" t="str">
        <f t="shared" si="0"/>
        <v>No</v>
      </c>
    </row>
    <row r="11" spans="1:5" ht="32.1" customHeight="1" x14ac:dyDescent="0.25">
      <c r="A11" s="5" t="s">
        <v>161</v>
      </c>
      <c r="B11" s="6">
        <v>11</v>
      </c>
      <c r="C11" s="7" t="s">
        <v>171</v>
      </c>
      <c r="D11" s="7" t="s">
        <v>286</v>
      </c>
      <c r="E11" s="6" t="str">
        <f t="shared" si="0"/>
        <v>No</v>
      </c>
    </row>
    <row r="13" spans="1:5" x14ac:dyDescent="0.25">
      <c r="A13" s="18" t="s">
        <v>287</v>
      </c>
      <c r="B13" s="18">
        <f>COUNTIF(E2:E11,"ORPHAN")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40" customWidth="1"/>
    <col min="3" max="3" width="18" customWidth="1"/>
    <col min="4" max="4" width="74" customWidth="1"/>
  </cols>
  <sheetData>
    <row r="1" spans="1:4" ht="27.95" customHeight="1" x14ac:dyDescent="0.25">
      <c r="A1" s="4" t="s">
        <v>288</v>
      </c>
      <c r="B1" s="4" t="s">
        <v>289</v>
      </c>
      <c r="C1" s="4" t="s">
        <v>290</v>
      </c>
      <c r="D1" s="4" t="s">
        <v>291</v>
      </c>
    </row>
    <row r="2" spans="1:4" x14ac:dyDescent="0.25">
      <c r="A2" s="5" t="s">
        <v>292</v>
      </c>
      <c r="B2" s="5" t="s">
        <v>293</v>
      </c>
      <c r="C2" s="15" t="s">
        <v>294</v>
      </c>
      <c r="D2" s="7" t="s">
        <v>295</v>
      </c>
    </row>
    <row r="3" spans="1:4" x14ac:dyDescent="0.25">
      <c r="A3" s="5" t="s">
        <v>292</v>
      </c>
      <c r="B3" s="5" t="s">
        <v>296</v>
      </c>
      <c r="C3" s="15" t="s">
        <v>294</v>
      </c>
      <c r="D3" s="7" t="s">
        <v>297</v>
      </c>
    </row>
    <row r="4" spans="1:4" x14ac:dyDescent="0.25">
      <c r="A4" s="5" t="s">
        <v>292</v>
      </c>
      <c r="B4" s="5" t="s">
        <v>298</v>
      </c>
      <c r="C4" s="15" t="s">
        <v>294</v>
      </c>
      <c r="D4" s="7" t="s">
        <v>299</v>
      </c>
    </row>
    <row r="5" spans="1:4" x14ac:dyDescent="0.25">
      <c r="A5" s="5" t="s">
        <v>292</v>
      </c>
      <c r="B5" s="5" t="s">
        <v>300</v>
      </c>
      <c r="C5" s="15" t="s">
        <v>294</v>
      </c>
      <c r="D5" s="7" t="s">
        <v>301</v>
      </c>
    </row>
    <row r="6" spans="1:4" x14ac:dyDescent="0.25">
      <c r="A6" s="5" t="s">
        <v>292</v>
      </c>
      <c r="B6" s="5" t="s">
        <v>302</v>
      </c>
      <c r="C6" s="15" t="s">
        <v>294</v>
      </c>
      <c r="D6" s="7" t="s">
        <v>303</v>
      </c>
    </row>
    <row r="7" spans="1:4" x14ac:dyDescent="0.25">
      <c r="A7" s="5" t="s">
        <v>292</v>
      </c>
      <c r="B7" s="5" t="s">
        <v>304</v>
      </c>
      <c r="C7" s="15" t="s">
        <v>294</v>
      </c>
      <c r="D7" s="7" t="s">
        <v>305</v>
      </c>
    </row>
    <row r="8" spans="1:4" x14ac:dyDescent="0.25">
      <c r="A8" s="5" t="s">
        <v>292</v>
      </c>
      <c r="B8" s="5" t="s">
        <v>306</v>
      </c>
      <c r="C8" s="15" t="s">
        <v>294</v>
      </c>
      <c r="D8" s="7" t="s">
        <v>307</v>
      </c>
    </row>
    <row r="9" spans="1:4" x14ac:dyDescent="0.25">
      <c r="A9" s="5" t="s">
        <v>292</v>
      </c>
      <c r="B9" s="5" t="s">
        <v>308</v>
      </c>
      <c r="C9" s="15" t="s">
        <v>294</v>
      </c>
      <c r="D9" s="7" t="s">
        <v>309</v>
      </c>
    </row>
    <row r="10" spans="1:4" x14ac:dyDescent="0.25">
      <c r="A10" s="5" t="s">
        <v>292</v>
      </c>
      <c r="B10" s="5" t="s">
        <v>310</v>
      </c>
      <c r="C10" s="15" t="s">
        <v>294</v>
      </c>
      <c r="D10" s="7" t="s">
        <v>311</v>
      </c>
    </row>
    <row r="11" spans="1:4" x14ac:dyDescent="0.25">
      <c r="A11" s="5" t="s">
        <v>292</v>
      </c>
      <c r="B11" s="5" t="s">
        <v>312</v>
      </c>
      <c r="C11" s="15" t="s">
        <v>294</v>
      </c>
      <c r="D11" s="7" t="s">
        <v>313</v>
      </c>
    </row>
    <row r="12" spans="1:4" x14ac:dyDescent="0.25">
      <c r="A12" s="5" t="s">
        <v>292</v>
      </c>
      <c r="B12" s="5" t="s">
        <v>314</v>
      </c>
      <c r="C12" s="15" t="s">
        <v>294</v>
      </c>
      <c r="D12" s="7" t="s">
        <v>315</v>
      </c>
    </row>
    <row r="13" spans="1:4" x14ac:dyDescent="0.25">
      <c r="A13" s="5" t="s">
        <v>292</v>
      </c>
      <c r="B13" s="5" t="s">
        <v>316</v>
      </c>
      <c r="C13" s="15" t="s">
        <v>294</v>
      </c>
      <c r="D13" s="7" t="s">
        <v>317</v>
      </c>
    </row>
    <row r="14" spans="1:4" x14ac:dyDescent="0.25">
      <c r="A14" s="5" t="s">
        <v>292</v>
      </c>
      <c r="B14" s="5" t="s">
        <v>318</v>
      </c>
      <c r="C14" s="15" t="s">
        <v>294</v>
      </c>
      <c r="D14" s="7" t="s">
        <v>319</v>
      </c>
    </row>
    <row r="15" spans="1:4" x14ac:dyDescent="0.25">
      <c r="A15" s="5" t="s">
        <v>292</v>
      </c>
      <c r="B15" s="5" t="s">
        <v>320</v>
      </c>
      <c r="C15" s="15" t="s">
        <v>294</v>
      </c>
      <c r="D15" s="7" t="s">
        <v>321</v>
      </c>
    </row>
    <row r="16" spans="1:4" x14ac:dyDescent="0.25">
      <c r="A16" s="5" t="s">
        <v>292</v>
      </c>
      <c r="B16" s="5" t="s">
        <v>322</v>
      </c>
      <c r="C16" s="15" t="s">
        <v>323</v>
      </c>
      <c r="D16" s="7" t="s">
        <v>324</v>
      </c>
    </row>
    <row r="17" spans="1:4" x14ac:dyDescent="0.25">
      <c r="A17" s="5" t="s">
        <v>325</v>
      </c>
      <c r="B17" s="5" t="s">
        <v>326</v>
      </c>
      <c r="C17" s="15" t="s">
        <v>294</v>
      </c>
      <c r="D17" s="7" t="s">
        <v>327</v>
      </c>
    </row>
    <row r="18" spans="1:4" x14ac:dyDescent="0.25">
      <c r="A18" s="5" t="s">
        <v>325</v>
      </c>
      <c r="B18" s="5" t="s">
        <v>328</v>
      </c>
      <c r="C18" s="15" t="s">
        <v>294</v>
      </c>
      <c r="D18" s="7" t="s">
        <v>329</v>
      </c>
    </row>
    <row r="19" spans="1:4" x14ac:dyDescent="0.25">
      <c r="A19" s="5" t="s">
        <v>325</v>
      </c>
      <c r="B19" s="5" t="s">
        <v>330</v>
      </c>
      <c r="C19" s="15" t="s">
        <v>294</v>
      </c>
      <c r="D19" s="7" t="s">
        <v>331</v>
      </c>
    </row>
    <row r="20" spans="1:4" x14ac:dyDescent="0.25">
      <c r="A20" s="5" t="s">
        <v>325</v>
      </c>
      <c r="B20" s="5" t="s">
        <v>332</v>
      </c>
      <c r="C20" s="15" t="s">
        <v>294</v>
      </c>
      <c r="D20" s="7" t="s">
        <v>333</v>
      </c>
    </row>
    <row r="21" spans="1:4" x14ac:dyDescent="0.25">
      <c r="A21" s="5" t="s">
        <v>325</v>
      </c>
      <c r="B21" s="5" t="s">
        <v>334</v>
      </c>
      <c r="C21" s="20" t="s">
        <v>335</v>
      </c>
      <c r="D21" s="7" t="s">
        <v>336</v>
      </c>
    </row>
    <row r="22" spans="1:4" x14ac:dyDescent="0.25">
      <c r="A22" s="5" t="s">
        <v>325</v>
      </c>
      <c r="B22" s="5" t="s">
        <v>337</v>
      </c>
      <c r="C22" s="15" t="s">
        <v>294</v>
      </c>
      <c r="D22" s="7" t="s">
        <v>338</v>
      </c>
    </row>
    <row r="23" spans="1:4" x14ac:dyDescent="0.25">
      <c r="A23" s="5" t="s">
        <v>339</v>
      </c>
      <c r="B23" s="5" t="s">
        <v>340</v>
      </c>
      <c r="C23" s="15" t="s">
        <v>294</v>
      </c>
      <c r="D23" s="7" t="s">
        <v>341</v>
      </c>
    </row>
    <row r="24" spans="1:4" x14ac:dyDescent="0.25">
      <c r="A24" s="5" t="s">
        <v>339</v>
      </c>
      <c r="B24" s="5" t="s">
        <v>342</v>
      </c>
      <c r="C24" s="15" t="s">
        <v>294</v>
      </c>
      <c r="D24" s="7" t="s">
        <v>343</v>
      </c>
    </row>
    <row r="25" spans="1:4" x14ac:dyDescent="0.25">
      <c r="A25" s="5" t="s">
        <v>339</v>
      </c>
      <c r="B25" s="5" t="s">
        <v>344</v>
      </c>
      <c r="C25" s="15" t="s">
        <v>294</v>
      </c>
      <c r="D25" s="7" t="s">
        <v>345</v>
      </c>
    </row>
    <row r="26" spans="1:4" x14ac:dyDescent="0.25">
      <c r="A26" s="5" t="s">
        <v>339</v>
      </c>
      <c r="B26" s="5" t="s">
        <v>346</v>
      </c>
      <c r="C26" s="15" t="s">
        <v>294</v>
      </c>
      <c r="D26" s="7" t="s">
        <v>347</v>
      </c>
    </row>
    <row r="27" spans="1:4" x14ac:dyDescent="0.25">
      <c r="A27" s="5" t="s">
        <v>339</v>
      </c>
      <c r="B27" s="5" t="s">
        <v>348</v>
      </c>
      <c r="C27" s="17" t="s">
        <v>349</v>
      </c>
      <c r="D27" s="7" t="s">
        <v>350</v>
      </c>
    </row>
    <row r="28" spans="1:4" x14ac:dyDescent="0.25">
      <c r="A28" s="5" t="s">
        <v>339</v>
      </c>
      <c r="B28" s="5" t="s">
        <v>351</v>
      </c>
      <c r="C28" s="17" t="s">
        <v>349</v>
      </c>
      <c r="D28" s="7" t="s">
        <v>352</v>
      </c>
    </row>
    <row r="29" spans="1:4" x14ac:dyDescent="0.25">
      <c r="A29" s="5" t="s">
        <v>49</v>
      </c>
      <c r="B29" s="5" t="s">
        <v>353</v>
      </c>
      <c r="C29" s="15" t="s">
        <v>294</v>
      </c>
      <c r="D29" s="7" t="s">
        <v>354</v>
      </c>
    </row>
    <row r="30" spans="1:4" x14ac:dyDescent="0.25">
      <c r="A30" s="5" t="s">
        <v>49</v>
      </c>
      <c r="B30" s="5" t="s">
        <v>355</v>
      </c>
      <c r="C30" s="15" t="s">
        <v>294</v>
      </c>
      <c r="D30" s="7" t="s">
        <v>356</v>
      </c>
    </row>
    <row r="31" spans="1:4" x14ac:dyDescent="0.25">
      <c r="A31" s="5" t="s">
        <v>49</v>
      </c>
      <c r="B31" s="5" t="s">
        <v>357</v>
      </c>
      <c r="C31" s="15" t="s">
        <v>294</v>
      </c>
      <c r="D31" s="7" t="s">
        <v>358</v>
      </c>
    </row>
    <row r="32" spans="1:4" x14ac:dyDescent="0.25">
      <c r="A32" s="5" t="s">
        <v>49</v>
      </c>
      <c r="B32" s="5" t="s">
        <v>359</v>
      </c>
      <c r="C32" s="15" t="s">
        <v>294</v>
      </c>
      <c r="D32" s="7" t="s">
        <v>358</v>
      </c>
    </row>
    <row r="33" spans="1:4" x14ac:dyDescent="0.25">
      <c r="A33" s="5" t="s">
        <v>49</v>
      </c>
      <c r="B33" s="5" t="s">
        <v>360</v>
      </c>
      <c r="C33" s="15" t="s">
        <v>294</v>
      </c>
      <c r="D33" s="7" t="s">
        <v>361</v>
      </c>
    </row>
    <row r="34" spans="1:4" x14ac:dyDescent="0.25">
      <c r="A34" s="5" t="s">
        <v>49</v>
      </c>
      <c r="B34" s="5" t="s">
        <v>362</v>
      </c>
      <c r="C34" s="15" t="s">
        <v>294</v>
      </c>
      <c r="D34" s="7" t="s">
        <v>363</v>
      </c>
    </row>
    <row r="35" spans="1:4" x14ac:dyDescent="0.25">
      <c r="A35" s="5" t="s">
        <v>49</v>
      </c>
      <c r="B35" s="5" t="s">
        <v>364</v>
      </c>
      <c r="C35" s="17" t="s">
        <v>365</v>
      </c>
      <c r="D35" s="7" t="s">
        <v>366</v>
      </c>
    </row>
    <row r="36" spans="1:4" x14ac:dyDescent="0.25">
      <c r="A36" s="5" t="s">
        <v>49</v>
      </c>
      <c r="B36" s="5" t="s">
        <v>367</v>
      </c>
      <c r="C36" s="17" t="s">
        <v>365</v>
      </c>
      <c r="D36" s="7" t="s">
        <v>368</v>
      </c>
    </row>
    <row r="37" spans="1:4" x14ac:dyDescent="0.25">
      <c r="A37" s="5" t="s">
        <v>49</v>
      </c>
      <c r="B37" s="5" t="s">
        <v>369</v>
      </c>
      <c r="C37" s="17" t="s">
        <v>365</v>
      </c>
      <c r="D37" s="7" t="s">
        <v>370</v>
      </c>
    </row>
    <row r="38" spans="1:4" x14ac:dyDescent="0.25">
      <c r="A38" s="5" t="s">
        <v>371</v>
      </c>
      <c r="B38" s="5" t="s">
        <v>372</v>
      </c>
      <c r="C38" s="15" t="s">
        <v>294</v>
      </c>
      <c r="D38" s="7" t="s">
        <v>373</v>
      </c>
    </row>
    <row r="39" spans="1:4" x14ac:dyDescent="0.25">
      <c r="A39" s="5" t="s">
        <v>371</v>
      </c>
      <c r="B39" s="5" t="s">
        <v>374</v>
      </c>
      <c r="C39" s="15" t="s">
        <v>294</v>
      </c>
      <c r="D39" s="7" t="s">
        <v>375</v>
      </c>
    </row>
    <row r="40" spans="1:4" x14ac:dyDescent="0.25">
      <c r="A40" s="5" t="s">
        <v>371</v>
      </c>
      <c r="B40" s="5" t="s">
        <v>376</v>
      </c>
      <c r="C40" s="15" t="s">
        <v>294</v>
      </c>
      <c r="D40" s="7" t="s">
        <v>327</v>
      </c>
    </row>
    <row r="41" spans="1:4" x14ac:dyDescent="0.25">
      <c r="A41" s="5" t="s">
        <v>371</v>
      </c>
      <c r="B41" s="5" t="s">
        <v>377</v>
      </c>
      <c r="C41" s="15" t="s">
        <v>294</v>
      </c>
      <c r="D41" s="7" t="s">
        <v>378</v>
      </c>
    </row>
    <row r="42" spans="1:4" x14ac:dyDescent="0.25">
      <c r="A42" s="5" t="s">
        <v>371</v>
      </c>
      <c r="B42" s="5" t="s">
        <v>379</v>
      </c>
      <c r="C42" s="15" t="s">
        <v>294</v>
      </c>
      <c r="D42" s="7" t="s">
        <v>380</v>
      </c>
    </row>
    <row r="43" spans="1:4" x14ac:dyDescent="0.25">
      <c r="A43" s="5" t="s">
        <v>371</v>
      </c>
      <c r="B43" s="5" t="s">
        <v>381</v>
      </c>
      <c r="C43" s="15" t="s">
        <v>294</v>
      </c>
      <c r="D43" s="7" t="s">
        <v>382</v>
      </c>
    </row>
    <row r="44" spans="1:4" x14ac:dyDescent="0.25">
      <c r="A44" s="5" t="s">
        <v>371</v>
      </c>
      <c r="B44" s="5" t="s">
        <v>383</v>
      </c>
      <c r="C44" s="20" t="s">
        <v>384</v>
      </c>
      <c r="D44" s="7" t="s">
        <v>385</v>
      </c>
    </row>
    <row r="45" spans="1:4" x14ac:dyDescent="0.25">
      <c r="A45" s="5" t="s">
        <v>371</v>
      </c>
      <c r="B45" s="5" t="s">
        <v>386</v>
      </c>
      <c r="C45" s="17" t="s">
        <v>365</v>
      </c>
      <c r="D45" s="7" t="s">
        <v>387</v>
      </c>
    </row>
    <row r="46" spans="1:4" x14ac:dyDescent="0.25">
      <c r="A46" s="5" t="s">
        <v>388</v>
      </c>
      <c r="B46" s="5" t="s">
        <v>389</v>
      </c>
      <c r="C46" s="15" t="s">
        <v>294</v>
      </c>
      <c r="D46" s="7" t="s">
        <v>390</v>
      </c>
    </row>
    <row r="47" spans="1:4" x14ac:dyDescent="0.25">
      <c r="A47" s="5" t="s">
        <v>388</v>
      </c>
      <c r="B47" s="5" t="s">
        <v>391</v>
      </c>
      <c r="C47" s="15" t="s">
        <v>294</v>
      </c>
      <c r="D47" s="7" t="s">
        <v>392</v>
      </c>
    </row>
    <row r="48" spans="1:4" x14ac:dyDescent="0.25">
      <c r="A48" s="5" t="s">
        <v>388</v>
      </c>
      <c r="B48" s="5" t="s">
        <v>393</v>
      </c>
      <c r="C48" s="15" t="s">
        <v>294</v>
      </c>
      <c r="D48" s="7" t="s">
        <v>394</v>
      </c>
    </row>
    <row r="49" spans="1:4" x14ac:dyDescent="0.25">
      <c r="A49" s="5" t="s">
        <v>388</v>
      </c>
      <c r="B49" s="5" t="s">
        <v>395</v>
      </c>
      <c r="C49" s="15" t="s">
        <v>294</v>
      </c>
      <c r="D49" s="7" t="s">
        <v>396</v>
      </c>
    </row>
    <row r="50" spans="1:4" x14ac:dyDescent="0.25">
      <c r="A50" s="5" t="s">
        <v>388</v>
      </c>
      <c r="B50" s="5" t="s">
        <v>397</v>
      </c>
      <c r="C50" s="15" t="s">
        <v>294</v>
      </c>
      <c r="D50" s="7" t="s">
        <v>398</v>
      </c>
    </row>
    <row r="51" spans="1:4" x14ac:dyDescent="0.25">
      <c r="A51" s="5" t="s">
        <v>388</v>
      </c>
      <c r="B51" s="5" t="s">
        <v>399</v>
      </c>
      <c r="C51" s="17" t="s">
        <v>365</v>
      </c>
      <c r="D51" s="7" t="s">
        <v>400</v>
      </c>
    </row>
    <row r="52" spans="1:4" x14ac:dyDescent="0.25">
      <c r="A52" s="5" t="s">
        <v>401</v>
      </c>
      <c r="B52" s="5" t="s">
        <v>402</v>
      </c>
      <c r="C52" s="15" t="s">
        <v>294</v>
      </c>
      <c r="D52" s="7" t="s">
        <v>403</v>
      </c>
    </row>
    <row r="53" spans="1:4" x14ac:dyDescent="0.25">
      <c r="A53" s="5" t="s">
        <v>401</v>
      </c>
      <c r="B53" s="5" t="s">
        <v>404</v>
      </c>
      <c r="C53" s="15" t="s">
        <v>294</v>
      </c>
      <c r="D53" s="7" t="s">
        <v>405</v>
      </c>
    </row>
    <row r="54" spans="1:4" x14ac:dyDescent="0.25">
      <c r="A54" s="5" t="s">
        <v>401</v>
      </c>
      <c r="B54" s="5" t="s">
        <v>406</v>
      </c>
      <c r="C54" s="15" t="s">
        <v>294</v>
      </c>
      <c r="D54" s="7" t="s">
        <v>407</v>
      </c>
    </row>
    <row r="55" spans="1:4" x14ac:dyDescent="0.25">
      <c r="A55" s="5" t="s">
        <v>401</v>
      </c>
      <c r="B55" s="5" t="s">
        <v>244</v>
      </c>
      <c r="C55" s="17" t="s">
        <v>365</v>
      </c>
      <c r="D55" s="7" t="s">
        <v>408</v>
      </c>
    </row>
    <row r="56" spans="1:4" x14ac:dyDescent="0.25">
      <c r="A56" s="5" t="s">
        <v>401</v>
      </c>
      <c r="B56" s="5" t="s">
        <v>409</v>
      </c>
      <c r="C56" s="15" t="s">
        <v>294</v>
      </c>
      <c r="D56" s="7" t="s">
        <v>410</v>
      </c>
    </row>
    <row r="57" spans="1:4" x14ac:dyDescent="0.25">
      <c r="A57" s="5" t="s">
        <v>401</v>
      </c>
      <c r="B57" s="5" t="s">
        <v>411</v>
      </c>
      <c r="C57" s="17" t="s">
        <v>365</v>
      </c>
      <c r="D57" s="7" t="s">
        <v>412</v>
      </c>
    </row>
    <row r="58" spans="1:4" x14ac:dyDescent="0.25">
      <c r="A58" s="5" t="s">
        <v>413</v>
      </c>
      <c r="B58" s="5" t="s">
        <v>414</v>
      </c>
      <c r="C58" s="15" t="s">
        <v>294</v>
      </c>
      <c r="D58" s="7" t="s">
        <v>415</v>
      </c>
    </row>
    <row r="59" spans="1:4" x14ac:dyDescent="0.25">
      <c r="A59" s="5" t="s">
        <v>413</v>
      </c>
      <c r="B59" s="5" t="s">
        <v>416</v>
      </c>
      <c r="C59" s="15" t="s">
        <v>294</v>
      </c>
      <c r="D59" s="7" t="s">
        <v>417</v>
      </c>
    </row>
    <row r="60" spans="1:4" x14ac:dyDescent="0.25">
      <c r="A60" s="5" t="s">
        <v>413</v>
      </c>
      <c r="B60" s="5" t="s">
        <v>418</v>
      </c>
      <c r="C60" s="15" t="s">
        <v>294</v>
      </c>
      <c r="D60" s="7" t="s">
        <v>419</v>
      </c>
    </row>
    <row r="61" spans="1:4" x14ac:dyDescent="0.25">
      <c r="A61" s="5" t="s">
        <v>413</v>
      </c>
      <c r="B61" s="5" t="s">
        <v>420</v>
      </c>
      <c r="C61" s="17" t="s">
        <v>365</v>
      </c>
      <c r="D61" s="7" t="s">
        <v>421</v>
      </c>
    </row>
    <row r="62" spans="1:4" x14ac:dyDescent="0.25">
      <c r="A62" s="5" t="s">
        <v>413</v>
      </c>
      <c r="B62" s="5" t="s">
        <v>422</v>
      </c>
      <c r="C62" s="17" t="s">
        <v>365</v>
      </c>
      <c r="D62" s="7" t="s">
        <v>421</v>
      </c>
    </row>
    <row r="63" spans="1:4" x14ac:dyDescent="0.25">
      <c r="A63" s="5" t="s">
        <v>423</v>
      </c>
      <c r="B63" s="5" t="s">
        <v>424</v>
      </c>
      <c r="C63" s="15" t="s">
        <v>294</v>
      </c>
      <c r="D63" s="7" t="s">
        <v>425</v>
      </c>
    </row>
    <row r="64" spans="1:4" x14ac:dyDescent="0.25">
      <c r="A64" s="5" t="s">
        <v>423</v>
      </c>
      <c r="B64" s="5" t="s">
        <v>426</v>
      </c>
      <c r="C64" s="15" t="s">
        <v>294</v>
      </c>
      <c r="D64" s="7" t="s">
        <v>427</v>
      </c>
    </row>
    <row r="65" spans="1:4" x14ac:dyDescent="0.25">
      <c r="A65" s="5" t="s">
        <v>423</v>
      </c>
      <c r="B65" s="5" t="s">
        <v>428</v>
      </c>
      <c r="C65" s="17" t="s">
        <v>365</v>
      </c>
      <c r="D65" s="7" t="s">
        <v>429</v>
      </c>
    </row>
    <row r="66" spans="1:4" x14ac:dyDescent="0.25">
      <c r="A66" s="5" t="s">
        <v>423</v>
      </c>
      <c r="B66" s="5" t="s">
        <v>430</v>
      </c>
      <c r="C66" s="17" t="s">
        <v>365</v>
      </c>
      <c r="D66" s="7" t="s">
        <v>431</v>
      </c>
    </row>
    <row r="68" spans="1:4" x14ac:dyDescent="0.25">
      <c r="A68" s="18" t="s">
        <v>294</v>
      </c>
      <c r="B68">
        <f>COUNTIF($C$2:$C$66,"Completed")</f>
        <v>49</v>
      </c>
    </row>
    <row r="69" spans="1:4" x14ac:dyDescent="0.25">
      <c r="A69" s="18" t="s">
        <v>384</v>
      </c>
      <c r="B69">
        <f>COUNTIF($C$2:$C$66,"Improved")</f>
        <v>1</v>
      </c>
    </row>
    <row r="70" spans="1:4" x14ac:dyDescent="0.25">
      <c r="A70" s="18" t="s">
        <v>335</v>
      </c>
      <c r="B70">
        <f>COUNTIF($C$2:$C$66,"Reviewed")</f>
        <v>1</v>
      </c>
    </row>
    <row r="71" spans="1:4" x14ac:dyDescent="0.25">
      <c r="A71" s="18" t="s">
        <v>365</v>
      </c>
      <c r="B71">
        <f>COUNTIF($C$2:$C$66,"Pending")</f>
        <v>11</v>
      </c>
    </row>
    <row r="72" spans="1:4" x14ac:dyDescent="0.25">
      <c r="A72" s="18" t="s">
        <v>349</v>
      </c>
      <c r="B72">
        <f>COUNTIF($C$2:$C$66,"Blocked")</f>
        <v>2</v>
      </c>
    </row>
    <row r="73" spans="1:4" x14ac:dyDescent="0.25">
      <c r="A73" s="18" t="s">
        <v>323</v>
      </c>
      <c r="B73">
        <f>COUNTIF($C$2:$C$66,"Not applicable")</f>
        <v>1</v>
      </c>
    </row>
    <row r="74" spans="1:4" x14ac:dyDescent="0.25">
      <c r="A74" s="18" t="s">
        <v>432</v>
      </c>
      <c r="B74">
        <f>COUNTA($B$2:$B$66)</f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15" customWidth="1"/>
    <col min="3" max="3" width="44" customWidth="1"/>
    <col min="4" max="5" width="68" customWidth="1"/>
    <col min="6" max="6" width="18" customWidth="1"/>
    <col min="7" max="7" width="14" customWidth="1"/>
  </cols>
  <sheetData>
    <row r="1" spans="1:7" ht="30" customHeight="1" x14ac:dyDescent="0.25">
      <c r="A1" s="4" t="s">
        <v>433</v>
      </c>
      <c r="B1" s="4" t="s">
        <v>434</v>
      </c>
      <c r="C1" s="4" t="s">
        <v>435</v>
      </c>
      <c r="D1" s="4" t="s">
        <v>436</v>
      </c>
      <c r="E1" s="4" t="s">
        <v>437</v>
      </c>
      <c r="F1" s="4" t="s">
        <v>438</v>
      </c>
      <c r="G1" s="4" t="s">
        <v>439</v>
      </c>
    </row>
    <row r="2" spans="1:7" ht="62.1" customHeight="1" x14ac:dyDescent="0.25">
      <c r="A2" s="6">
        <v>1</v>
      </c>
      <c r="B2" s="16" t="s">
        <v>245</v>
      </c>
      <c r="C2" s="7" t="s">
        <v>440</v>
      </c>
      <c r="D2" s="7" t="s">
        <v>441</v>
      </c>
      <c r="E2" s="7" t="s">
        <v>442</v>
      </c>
      <c r="F2" s="5" t="s">
        <v>443</v>
      </c>
      <c r="G2" s="5" t="s">
        <v>444</v>
      </c>
    </row>
    <row r="3" spans="1:7" ht="62.1" customHeight="1" x14ac:dyDescent="0.25">
      <c r="A3" s="6">
        <v>2</v>
      </c>
      <c r="B3" s="16" t="s">
        <v>245</v>
      </c>
      <c r="C3" s="7" t="s">
        <v>445</v>
      </c>
      <c r="D3" s="7" t="s">
        <v>446</v>
      </c>
      <c r="E3" s="7" t="s">
        <v>447</v>
      </c>
      <c r="F3" s="5" t="s">
        <v>448</v>
      </c>
      <c r="G3" s="5" t="s">
        <v>449</v>
      </c>
    </row>
    <row r="4" spans="1:7" ht="62.1" customHeight="1" x14ac:dyDescent="0.25">
      <c r="A4" s="6">
        <v>3</v>
      </c>
      <c r="B4" s="19" t="s">
        <v>255</v>
      </c>
      <c r="C4" s="7" t="s">
        <v>450</v>
      </c>
      <c r="D4" s="7" t="s">
        <v>451</v>
      </c>
      <c r="E4" s="7" t="s">
        <v>452</v>
      </c>
      <c r="F4" s="5" t="s">
        <v>453</v>
      </c>
      <c r="G4" s="5" t="s">
        <v>454</v>
      </c>
    </row>
    <row r="5" spans="1:7" ht="62.1" customHeight="1" x14ac:dyDescent="0.25">
      <c r="A5" s="6">
        <v>4</v>
      </c>
      <c r="B5" s="19" t="s">
        <v>255</v>
      </c>
      <c r="C5" s="7" t="s">
        <v>455</v>
      </c>
      <c r="D5" s="7" t="s">
        <v>456</v>
      </c>
      <c r="E5" s="7" t="s">
        <v>457</v>
      </c>
      <c r="F5" s="5" t="s">
        <v>453</v>
      </c>
      <c r="G5" s="5" t="s">
        <v>454</v>
      </c>
    </row>
    <row r="6" spans="1:7" ht="62.1" customHeight="1" x14ac:dyDescent="0.25">
      <c r="A6" s="6">
        <v>5</v>
      </c>
      <c r="B6" s="19" t="s">
        <v>255</v>
      </c>
      <c r="C6" s="7" t="s">
        <v>458</v>
      </c>
      <c r="D6" s="7" t="s">
        <v>459</v>
      </c>
      <c r="E6" s="7" t="s">
        <v>460</v>
      </c>
      <c r="F6" s="5" t="s">
        <v>461</v>
      </c>
      <c r="G6" s="5" t="s">
        <v>462</v>
      </c>
    </row>
    <row r="7" spans="1:7" ht="62.1" customHeight="1" x14ac:dyDescent="0.25">
      <c r="A7" s="6">
        <v>6</v>
      </c>
      <c r="B7" s="19" t="s">
        <v>255</v>
      </c>
      <c r="C7" s="7" t="s">
        <v>463</v>
      </c>
      <c r="D7" s="7" t="s">
        <v>464</v>
      </c>
      <c r="E7" s="7" t="s">
        <v>465</v>
      </c>
      <c r="F7" s="5" t="s">
        <v>453</v>
      </c>
      <c r="G7" s="5" t="s">
        <v>466</v>
      </c>
    </row>
    <row r="8" spans="1:7" ht="62.1" customHeight="1" x14ac:dyDescent="0.25">
      <c r="A8" s="6">
        <v>7</v>
      </c>
      <c r="B8" s="14" t="s">
        <v>467</v>
      </c>
      <c r="C8" s="7" t="s">
        <v>468</v>
      </c>
      <c r="D8" s="7" t="s">
        <v>469</v>
      </c>
      <c r="E8" s="7" t="s">
        <v>470</v>
      </c>
      <c r="F8" s="5" t="s">
        <v>471</v>
      </c>
      <c r="G8" s="5" t="s">
        <v>472</v>
      </c>
    </row>
    <row r="9" spans="1:7" ht="62.1" customHeight="1" x14ac:dyDescent="0.25">
      <c r="A9" s="6">
        <v>8</v>
      </c>
      <c r="B9" s="14" t="s">
        <v>467</v>
      </c>
      <c r="C9" s="7" t="s">
        <v>473</v>
      </c>
      <c r="D9" s="7" t="s">
        <v>474</v>
      </c>
      <c r="E9" s="7" t="s">
        <v>475</v>
      </c>
      <c r="F9" s="5" t="s">
        <v>453</v>
      </c>
      <c r="G9" s="5" t="s">
        <v>454</v>
      </c>
    </row>
    <row r="10" spans="1:7" ht="62.1" customHeight="1" x14ac:dyDescent="0.25">
      <c r="A10" s="6">
        <v>9</v>
      </c>
      <c r="B10" s="14" t="s">
        <v>467</v>
      </c>
      <c r="C10" s="7" t="s">
        <v>476</v>
      </c>
      <c r="D10" s="7" t="s">
        <v>477</v>
      </c>
      <c r="E10" s="7" t="s">
        <v>478</v>
      </c>
      <c r="F10" s="5" t="s">
        <v>479</v>
      </c>
      <c r="G10" s="5" t="s">
        <v>449</v>
      </c>
    </row>
    <row r="11" spans="1:7" ht="62.1" customHeight="1" x14ac:dyDescent="0.25">
      <c r="A11" s="6">
        <v>10</v>
      </c>
      <c r="B11" s="14" t="s">
        <v>467</v>
      </c>
      <c r="C11" s="7" t="s">
        <v>480</v>
      </c>
      <c r="D11" s="7" t="s">
        <v>481</v>
      </c>
      <c r="E11" s="7" t="s">
        <v>482</v>
      </c>
      <c r="F11" s="5" t="s">
        <v>483</v>
      </c>
      <c r="G11" s="5" t="s">
        <v>444</v>
      </c>
    </row>
    <row r="12" spans="1:7" ht="62.1" customHeight="1" x14ac:dyDescent="0.25">
      <c r="A12" s="6">
        <v>11</v>
      </c>
      <c r="B12" s="14" t="s">
        <v>484</v>
      </c>
      <c r="C12" s="7" t="s">
        <v>485</v>
      </c>
      <c r="D12" s="7" t="s">
        <v>486</v>
      </c>
      <c r="E12" s="7" t="s">
        <v>487</v>
      </c>
      <c r="F12" s="5" t="s">
        <v>453</v>
      </c>
      <c r="G12" s="5" t="s">
        <v>472</v>
      </c>
    </row>
    <row r="13" spans="1:7" ht="62.1" customHeight="1" x14ac:dyDescent="0.25">
      <c r="A13" s="6">
        <v>12</v>
      </c>
      <c r="B13" s="14" t="s">
        <v>484</v>
      </c>
      <c r="C13" s="7" t="s">
        <v>488</v>
      </c>
      <c r="D13" s="7" t="s">
        <v>489</v>
      </c>
      <c r="E13" s="7" t="s">
        <v>490</v>
      </c>
      <c r="F13" s="5" t="s">
        <v>453</v>
      </c>
      <c r="G13" s="5" t="s">
        <v>491</v>
      </c>
    </row>
    <row r="14" spans="1:7" ht="62.1" customHeight="1" x14ac:dyDescent="0.25">
      <c r="A14" s="6">
        <v>13</v>
      </c>
      <c r="B14" s="14" t="s">
        <v>484</v>
      </c>
      <c r="C14" s="7" t="s">
        <v>492</v>
      </c>
      <c r="D14" s="7" t="s">
        <v>493</v>
      </c>
      <c r="E14" s="7" t="s">
        <v>494</v>
      </c>
      <c r="F14" s="5" t="s">
        <v>453</v>
      </c>
      <c r="G14" s="5" t="s">
        <v>472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workbookViewId="0"/>
  </sheetViews>
  <sheetFormatPr defaultRowHeight="15" x14ac:dyDescent="0.25"/>
  <cols>
    <col min="1" max="1" width="32" customWidth="1"/>
    <col min="2" max="2" width="30" customWidth="1"/>
    <col min="3" max="4" width="12" customWidth="1"/>
    <col min="5" max="5" width="66" customWidth="1"/>
  </cols>
  <sheetData>
    <row r="1" spans="1:5" ht="18" customHeight="1" x14ac:dyDescent="0.25">
      <c r="A1" s="21" t="s">
        <v>495</v>
      </c>
    </row>
    <row r="2" spans="1:5" x14ac:dyDescent="0.25">
      <c r="A2" s="24" t="s">
        <v>496</v>
      </c>
      <c r="B2" s="25"/>
      <c r="C2" s="25"/>
      <c r="D2" s="25"/>
      <c r="E2" s="25"/>
    </row>
    <row r="4" spans="1:5" ht="30" customHeight="1" x14ac:dyDescent="0.25">
      <c r="A4" s="4" t="s">
        <v>497</v>
      </c>
      <c r="B4" s="4" t="s">
        <v>498</v>
      </c>
      <c r="C4" s="4" t="s">
        <v>499</v>
      </c>
      <c r="D4" s="4" t="s">
        <v>500</v>
      </c>
      <c r="E4" s="4" t="s">
        <v>501</v>
      </c>
    </row>
    <row r="5" spans="1:5" x14ac:dyDescent="0.25">
      <c r="A5" s="5" t="s">
        <v>292</v>
      </c>
      <c r="B5" s="22">
        <v>20</v>
      </c>
      <c r="C5" s="22">
        <v>10</v>
      </c>
      <c r="D5" s="6">
        <f t="shared" ref="D5:D13" si="0">B5*C5/100</f>
        <v>2</v>
      </c>
      <c r="E5" s="7" t="s">
        <v>502</v>
      </c>
    </row>
    <row r="6" spans="1:5" x14ac:dyDescent="0.25">
      <c r="A6" s="5" t="s">
        <v>325</v>
      </c>
      <c r="B6" s="22">
        <v>15</v>
      </c>
      <c r="C6" s="22">
        <v>10</v>
      </c>
      <c r="D6" s="6">
        <f t="shared" si="0"/>
        <v>1.5</v>
      </c>
      <c r="E6" s="7" t="s">
        <v>503</v>
      </c>
    </row>
    <row r="7" spans="1:5" x14ac:dyDescent="0.25">
      <c r="A7" s="5" t="s">
        <v>339</v>
      </c>
      <c r="B7" s="22">
        <v>10</v>
      </c>
      <c r="C7" s="22">
        <v>9</v>
      </c>
      <c r="D7" s="6">
        <f t="shared" si="0"/>
        <v>0.9</v>
      </c>
      <c r="E7" s="7" t="s">
        <v>504</v>
      </c>
    </row>
    <row r="8" spans="1:5" x14ac:dyDescent="0.25">
      <c r="A8" s="5" t="s">
        <v>505</v>
      </c>
      <c r="B8" s="22">
        <v>10</v>
      </c>
      <c r="C8" s="22">
        <v>10</v>
      </c>
      <c r="D8" s="6">
        <f t="shared" si="0"/>
        <v>1</v>
      </c>
      <c r="E8" s="7" t="s">
        <v>506</v>
      </c>
    </row>
    <row r="9" spans="1:5" x14ac:dyDescent="0.25">
      <c r="A9" s="5" t="s">
        <v>507</v>
      </c>
      <c r="B9" s="22">
        <v>15</v>
      </c>
      <c r="C9" s="22">
        <v>8</v>
      </c>
      <c r="D9" s="6">
        <f t="shared" si="0"/>
        <v>1.2</v>
      </c>
      <c r="E9" s="7" t="s">
        <v>508</v>
      </c>
    </row>
    <row r="10" spans="1:5" x14ac:dyDescent="0.25">
      <c r="A10" s="5" t="s">
        <v>401</v>
      </c>
      <c r="B10" s="22">
        <v>10</v>
      </c>
      <c r="C10" s="22">
        <v>6</v>
      </c>
      <c r="D10" s="6">
        <f t="shared" si="0"/>
        <v>0.6</v>
      </c>
      <c r="E10" s="7" t="s">
        <v>509</v>
      </c>
    </row>
    <row r="11" spans="1:5" x14ac:dyDescent="0.25">
      <c r="A11" s="5" t="s">
        <v>371</v>
      </c>
      <c r="B11" s="22">
        <v>10</v>
      </c>
      <c r="C11" s="22">
        <v>8</v>
      </c>
      <c r="D11" s="6">
        <f t="shared" si="0"/>
        <v>0.8</v>
      </c>
      <c r="E11" s="7" t="s">
        <v>510</v>
      </c>
    </row>
    <row r="12" spans="1:5" x14ac:dyDescent="0.25">
      <c r="A12" s="5" t="s">
        <v>388</v>
      </c>
      <c r="B12" s="22">
        <v>5</v>
      </c>
      <c r="C12" s="22">
        <v>9</v>
      </c>
      <c r="D12" s="6">
        <f t="shared" si="0"/>
        <v>0.45</v>
      </c>
      <c r="E12" s="7" t="s">
        <v>511</v>
      </c>
    </row>
    <row r="13" spans="1:5" x14ac:dyDescent="0.25">
      <c r="A13" s="5" t="s">
        <v>512</v>
      </c>
      <c r="B13" s="22">
        <v>5</v>
      </c>
      <c r="C13" s="22">
        <v>9</v>
      </c>
      <c r="D13" s="6">
        <f t="shared" si="0"/>
        <v>0.45</v>
      </c>
      <c r="E13" s="7" t="s">
        <v>513</v>
      </c>
    </row>
    <row r="14" spans="1:5" x14ac:dyDescent="0.25">
      <c r="A14" s="8" t="s">
        <v>172</v>
      </c>
      <c r="B14" s="9">
        <f>SUM(B5:B13)</f>
        <v>100</v>
      </c>
      <c r="C14" s="9"/>
      <c r="D14" s="9">
        <f>SUM(D5:D13)</f>
        <v>8.8999999999999986</v>
      </c>
      <c r="E14" s="23" t="s">
        <v>514</v>
      </c>
    </row>
    <row r="15" spans="1:5" x14ac:dyDescent="0.25">
      <c r="A15" s="5"/>
      <c r="B15" s="6"/>
      <c r="C15" s="6"/>
      <c r="D15" s="6"/>
      <c r="E15" s="7"/>
    </row>
    <row r="16" spans="1:5" x14ac:dyDescent="0.25">
      <c r="A16" s="8" t="s">
        <v>515</v>
      </c>
      <c r="B16" s="9" t="str">
        <f>ROUND(D14*10,1)&amp;" / 100"</f>
        <v>89 / 100</v>
      </c>
      <c r="C16" s="9"/>
      <c r="D16" s="9"/>
      <c r="E16" s="23" t="s">
        <v>516</v>
      </c>
    </row>
    <row r="17" spans="1:5" x14ac:dyDescent="0.25">
      <c r="A17" s="8" t="s">
        <v>517</v>
      </c>
      <c r="B17" s="9">
        <v>2</v>
      </c>
      <c r="C17" s="9"/>
      <c r="D17" s="9"/>
      <c r="E17" s="23" t="s">
        <v>518</v>
      </c>
    </row>
    <row r="18" spans="1:5" x14ac:dyDescent="0.25">
      <c r="A18" s="8" t="s">
        <v>519</v>
      </c>
      <c r="B18" s="9" t="s">
        <v>520</v>
      </c>
      <c r="C18" s="9"/>
      <c r="D18" s="9"/>
      <c r="E18" s="23" t="s">
        <v>521</v>
      </c>
    </row>
    <row r="20" spans="1:5" x14ac:dyDescent="0.25">
      <c r="A20" s="3" t="s">
        <v>522</v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On-Page SEO</vt:lpstr>
      <vt:lpstr>Metadata</vt:lpstr>
      <vt:lpstr>Accessibility</vt:lpstr>
      <vt:lpstr>Analytics and GTM</vt:lpstr>
      <vt:lpstr>Internal Linking</vt:lpstr>
      <vt:lpstr>SEO Checklist</vt:lpstr>
      <vt:lpstr>Recommendations</vt:lpstr>
      <vt:lpstr>Production Readiness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Anika Mehendiratta</cp:lastModifiedBy>
  <dcterms:created xsi:type="dcterms:W3CDTF">2026-07-20T16:24:15Z</dcterms:created>
  <dcterms:modified xsi:type="dcterms:W3CDTF">2026-07-21T08:15:26Z</dcterms:modified>
</cp:coreProperties>
</file>